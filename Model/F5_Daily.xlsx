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ktop\F5 Baseball Forecaster\Model\"/>
    </mc:Choice>
  </mc:AlternateContent>
  <xr:revisionPtr revIDLastSave="0" documentId="13_ncr:1_{0D24759C-51CD-42B8-9A77-2471F08C2D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late" sheetId="1" r:id="rId1"/>
    <sheet name="Pitchers" sheetId="2" r:id="rId2"/>
    <sheet name="TeamOffense" sheetId="3" r:id="rId3"/>
    <sheet name="ParkFactors" sheetId="4" r:id="rId4"/>
    <sheet name="Umpires" sheetId="5" r:id="rId5"/>
    <sheet name="Foreca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4" i="1"/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4" i="1"/>
  <c r="M5" i="1"/>
  <c r="F5" i="1" s="1"/>
  <c r="M6" i="1"/>
  <c r="F6" i="1" s="1"/>
  <c r="M7" i="1"/>
  <c r="F7" i="1" s="1"/>
  <c r="M8" i="1"/>
  <c r="F8" i="1" s="1"/>
  <c r="M9" i="1"/>
  <c r="F9" i="1" s="1"/>
  <c r="M10" i="1"/>
  <c r="F10" i="1" s="1"/>
  <c r="M11" i="1"/>
  <c r="F11" i="1" s="1"/>
  <c r="M12" i="1"/>
  <c r="F12" i="1" s="1"/>
  <c r="M13" i="1"/>
  <c r="F13" i="1" s="1"/>
  <c r="M14" i="1"/>
  <c r="F14" i="1" s="1"/>
  <c r="M15" i="1"/>
  <c r="F15" i="1" s="1"/>
  <c r="M16" i="1"/>
  <c r="F16" i="1" s="1"/>
  <c r="M17" i="1"/>
  <c r="F17" i="1" s="1"/>
  <c r="M18" i="1"/>
  <c r="F18" i="1" s="1"/>
  <c r="M4" i="1"/>
  <c r="F4" i="1" s="1"/>
  <c r="D5" i="1"/>
  <c r="O5" i="1" s="1"/>
  <c r="D6" i="1"/>
  <c r="O6" i="1" s="1"/>
  <c r="D7" i="1"/>
  <c r="O7" i="1" s="1"/>
  <c r="D8" i="1"/>
  <c r="O8" i="1" s="1"/>
  <c r="D9" i="1"/>
  <c r="O9" i="1" s="1"/>
  <c r="D10" i="1"/>
  <c r="O10" i="1" s="1"/>
  <c r="D11" i="1"/>
  <c r="O11" i="1" s="1"/>
  <c r="D12" i="1"/>
  <c r="O12" i="1" s="1"/>
  <c r="D13" i="1"/>
  <c r="O13" i="1" s="1"/>
  <c r="D14" i="1"/>
  <c r="O14" i="1" s="1"/>
  <c r="D15" i="1"/>
  <c r="O15" i="1" s="1"/>
  <c r="D16" i="1"/>
  <c r="O16" i="1" s="1"/>
  <c r="D17" i="1"/>
  <c r="O17" i="1" s="1"/>
  <c r="D18" i="1"/>
  <c r="O18" i="1" s="1"/>
  <c r="D4" i="1"/>
  <c r="O4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4" i="1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P9" i="1" l="1"/>
  <c r="G8" i="6" s="1"/>
  <c r="P14" i="1"/>
  <c r="G13" i="6" s="1"/>
  <c r="P13" i="1"/>
  <c r="G12" i="6" s="1"/>
  <c r="P12" i="1"/>
  <c r="G11" i="6" s="1"/>
  <c r="G13" i="1"/>
  <c r="G17" i="1"/>
  <c r="G5" i="1"/>
  <c r="P7" i="1"/>
  <c r="G6" i="6" s="1"/>
  <c r="G14" i="1"/>
  <c r="G15" i="1"/>
  <c r="P16" i="1"/>
  <c r="G15" i="6" s="1"/>
  <c r="G16" i="1"/>
  <c r="H15" i="6" s="1"/>
  <c r="P4" i="1"/>
  <c r="G3" i="6" s="1"/>
  <c r="P11" i="1"/>
  <c r="G10" i="6" s="1"/>
  <c r="P5" i="1"/>
  <c r="G4" i="6" s="1"/>
  <c r="G4" i="1"/>
  <c r="P6" i="1"/>
  <c r="G5" i="6" s="1"/>
  <c r="P15" i="1"/>
  <c r="G14" i="6" s="1"/>
  <c r="P8" i="1"/>
  <c r="G7" i="6" s="1"/>
  <c r="P17" i="1"/>
  <c r="G16" i="6" s="1"/>
  <c r="P10" i="1"/>
  <c r="G9" i="6" s="1"/>
  <c r="G18" i="1"/>
  <c r="H17" i="6" s="1"/>
  <c r="G12" i="1"/>
  <c r="G6" i="1"/>
  <c r="G7" i="1"/>
  <c r="G8" i="1"/>
  <c r="G9" i="1"/>
  <c r="P18" i="1"/>
  <c r="G17" i="6" s="1"/>
  <c r="G10" i="1"/>
  <c r="H10" i="1" s="1"/>
  <c r="G11" i="1"/>
  <c r="H4" i="1" l="1"/>
  <c r="H6" i="1"/>
  <c r="Q6" i="1" s="1"/>
  <c r="H9" i="1"/>
  <c r="Q9" i="1" s="1"/>
  <c r="H8" i="1"/>
  <c r="Q8" i="1" s="1"/>
  <c r="H11" i="1"/>
  <c r="Q11" i="1" s="1"/>
  <c r="H12" i="1"/>
  <c r="Q12" i="1" s="1"/>
  <c r="H14" i="1"/>
  <c r="Q14" i="1" s="1"/>
  <c r="H16" i="6"/>
  <c r="Q4" i="1"/>
  <c r="I4" i="1"/>
  <c r="F4" i="6"/>
  <c r="H5" i="1"/>
  <c r="F17" i="6"/>
  <c r="H18" i="1"/>
  <c r="F16" i="6"/>
  <c r="H17" i="1"/>
  <c r="Q10" i="1"/>
  <c r="I10" i="1"/>
  <c r="F12" i="6"/>
  <c r="H13" i="1"/>
  <c r="F15" i="6"/>
  <c r="H16" i="1"/>
  <c r="I6" i="1"/>
  <c r="I12" i="1"/>
  <c r="I8" i="1"/>
  <c r="H15" i="1"/>
  <c r="H7" i="1"/>
  <c r="H13" i="6"/>
  <c r="H12" i="6"/>
  <c r="H3" i="6"/>
  <c r="F13" i="6"/>
  <c r="F3" i="6"/>
  <c r="H14" i="6"/>
  <c r="F14" i="6"/>
  <c r="H4" i="6"/>
  <c r="H7" i="6"/>
  <c r="F7" i="6"/>
  <c r="H8" i="6"/>
  <c r="F8" i="6"/>
  <c r="H11" i="6"/>
  <c r="F11" i="6"/>
  <c r="H6" i="6"/>
  <c r="F6" i="6"/>
  <c r="H5" i="6"/>
  <c r="F5" i="6"/>
  <c r="H10" i="6"/>
  <c r="F10" i="6"/>
  <c r="H9" i="6"/>
  <c r="F9" i="6"/>
  <c r="I9" i="1" l="1"/>
  <c r="I11" i="1"/>
  <c r="I14" i="1"/>
  <c r="I7" i="6"/>
  <c r="R8" i="1"/>
  <c r="Q16" i="1"/>
  <c r="I16" i="1"/>
  <c r="Q13" i="1"/>
  <c r="I13" i="1"/>
  <c r="Q18" i="1"/>
  <c r="I18" i="1"/>
  <c r="Q17" i="1"/>
  <c r="I17" i="1"/>
  <c r="Q5" i="1"/>
  <c r="I5" i="1"/>
  <c r="I11" i="6"/>
  <c r="R12" i="1"/>
  <c r="R14" i="1"/>
  <c r="I13" i="6"/>
  <c r="R6" i="1"/>
  <c r="I5" i="6"/>
  <c r="R10" i="1"/>
  <c r="I9" i="6"/>
  <c r="Q7" i="1"/>
  <c r="I7" i="1"/>
  <c r="Q15" i="1"/>
  <c r="I15" i="1"/>
  <c r="I8" i="6"/>
  <c r="R9" i="1"/>
  <c r="I10" i="6"/>
  <c r="R11" i="1"/>
  <c r="I3" i="6"/>
  <c r="R4" i="1"/>
  <c r="R18" i="1" l="1"/>
  <c r="I17" i="6"/>
  <c r="I14" i="6"/>
  <c r="R15" i="1"/>
  <c r="I6" i="6"/>
  <c r="R7" i="1"/>
  <c r="R13" i="1"/>
  <c r="I12" i="6"/>
  <c r="R5" i="1"/>
  <c r="I4" i="6"/>
  <c r="R16" i="1"/>
  <c r="I15" i="6"/>
  <c r="I16" i="6"/>
  <c r="R17" i="1"/>
</calcChain>
</file>

<file path=xl/sharedStrings.xml><?xml version="1.0" encoding="utf-8"?>
<sst xmlns="http://schemas.openxmlformats.org/spreadsheetml/2006/main" count="1840" uniqueCount="903">
  <si>
    <t>ClutchSheets  |  F5 Innings  |  March 29, 2026  |  xRA × (oppBat/2.52)^1.2 × 0.8  |  NegBin r=6.0</t>
  </si>
  <si>
    <t>✏  YELLOW = type here (team codes, pitcher names, ump name).  BLUE = auto via XLOOKUP — updates when you change any yellow cell.  OVR cols override final xRUNS.  Win% uses pipeline values — re-run pipeline to refresh.</t>
  </si>
  <si>
    <t>#</t>
  </si>
  <si>
    <t>Away</t>
  </si>
  <si>
    <t>Away SP</t>
  </si>
  <si>
    <t>Throws</t>
  </si>
  <si>
    <t>Away xRA</t>
  </si>
  <si>
    <t>Away Bat</t>
  </si>
  <si>
    <t>Away xR</t>
  </si>
  <si>
    <t>Away W%</t>
  </si>
  <si>
    <t>Away FV</t>
  </si>
  <si>
    <t>vs</t>
  </si>
  <si>
    <t>Home</t>
  </si>
  <si>
    <t>Home SP</t>
  </si>
  <si>
    <t>Home xRA</t>
  </si>
  <si>
    <t>Home Bat</t>
  </si>
  <si>
    <t>Home xR</t>
  </si>
  <si>
    <t>Home W%</t>
  </si>
  <si>
    <t>Home FV</t>
  </si>
  <si>
    <t>Ump</t>
  </si>
  <si>
    <t>Ump Δ</t>
  </si>
  <si>
    <t>Park</t>
  </si>
  <si>
    <t>Minnesota Twins</t>
  </si>
  <si>
    <t>Bailey Ober</t>
  </si>
  <si>
    <t>Baltimore Orioles</t>
  </si>
  <si>
    <t>Shane Baz</t>
  </si>
  <si>
    <t>Chris Segal</t>
  </si>
  <si>
    <t>Texas Rangers</t>
  </si>
  <si>
    <t>MacKenzie Gore</t>
  </si>
  <si>
    <t>Philadelphia Phillies</t>
  </si>
  <si>
    <t>Jesús Luzardo</t>
  </si>
  <si>
    <t>Sean Barber</t>
  </si>
  <si>
    <t>Kansas City Royals</t>
  </si>
  <si>
    <t>Seth Lugo</t>
  </si>
  <si>
    <t>Atlanta Braves</t>
  </si>
  <si>
    <t>Grant Holmes</t>
  </si>
  <si>
    <t>Gabe Morales</t>
  </si>
  <si>
    <t>Athletics</t>
  </si>
  <si>
    <t>Luis Morales</t>
  </si>
  <si>
    <t>Toronto Blue Jays</t>
  </si>
  <si>
    <t>Eric Lauer</t>
  </si>
  <si>
    <t>Ryan Blakney</t>
  </si>
  <si>
    <t>Boston Red Sox</t>
  </si>
  <si>
    <t>Connelly Early</t>
  </si>
  <si>
    <t>Cincinnati Reds</t>
  </si>
  <si>
    <t>Rhett Lowder</t>
  </si>
  <si>
    <t>Adam Beck</t>
  </si>
  <si>
    <t>Pittsburgh Pirates</t>
  </si>
  <si>
    <t>Carmen Mlodzinski</t>
  </si>
  <si>
    <t>New York Mets</t>
  </si>
  <si>
    <t>Nolan McLean</t>
  </si>
  <si>
    <t>Ramon De Jesus</t>
  </si>
  <si>
    <t>Colorado Rockies</t>
  </si>
  <si>
    <t>Jose Quintana</t>
  </si>
  <si>
    <t>Miami Marlins</t>
  </si>
  <si>
    <t>Max Meyer</t>
  </si>
  <si>
    <t>Stu Scheurwater</t>
  </si>
  <si>
    <t>Los Angeles Angels</t>
  </si>
  <si>
    <t>Jack Kochanowicz</t>
  </si>
  <si>
    <t>Houston Astros</t>
  </si>
  <si>
    <t>Tatsuya Imai</t>
  </si>
  <si>
    <t>Brennan Miller</t>
  </si>
  <si>
    <t>Chicago White Sox</t>
  </si>
  <si>
    <t>Anthony Kay</t>
  </si>
  <si>
    <t>Milwaukee Brewers</t>
  </si>
  <si>
    <t>Brandon Sproat</t>
  </si>
  <si>
    <t>Carlos Torres</t>
  </si>
  <si>
    <t>Tampa Bay Rays</t>
  </si>
  <si>
    <t>Steven Matz</t>
  </si>
  <si>
    <t>St. Louis Cardinals</t>
  </si>
  <si>
    <t>Dustin May</t>
  </si>
  <si>
    <t>Nestor Ceja</t>
  </si>
  <si>
    <t>Washington Nationals</t>
  </si>
  <si>
    <t>Jake Irvin</t>
  </si>
  <si>
    <t>Chicago Cubs</t>
  </si>
  <si>
    <t>Shota Imanaga</t>
  </si>
  <si>
    <t>Roberto Ortiz</t>
  </si>
  <si>
    <t>Cleveland Guardians</t>
  </si>
  <si>
    <t>Slade Cecconi</t>
  </si>
  <si>
    <t>Seattle Mariners</t>
  </si>
  <si>
    <t>Emerson Hancock</t>
  </si>
  <si>
    <t>★ YELLOW = type here  ★ BLUE = XLOOKUP auto  ★ OVR (cols I/S) overrides final xRUNS in Forecast  ★ Win% uses pipeline values — re-run f5_pipeline.py + build_f5_daily.py to refresh  ★ Park red &gt;1.05 = hitter-friendly  |  blue &lt;0.95 = pitcher-friendly</t>
  </si>
  <si>
    <t>Pitcher xRA Database  —  update via f5_pipeline.py</t>
  </si>
  <si>
    <t>Name</t>
  </si>
  <si>
    <t>f5_ra</t>
  </si>
  <si>
    <t>Starts</t>
  </si>
  <si>
    <t>A.J. Minter</t>
  </si>
  <si>
    <t>L</t>
  </si>
  <si>
    <t>A.J. Puk</t>
  </si>
  <si>
    <t>AJ Smith-Shawver</t>
  </si>
  <si>
    <t>R</t>
  </si>
  <si>
    <t>Aaron Ashby</t>
  </si>
  <si>
    <t>Aaron Bummer</t>
  </si>
  <si>
    <t>Aaron Civale</t>
  </si>
  <si>
    <t>Aaron Loup</t>
  </si>
  <si>
    <t>Aaron Nola</t>
  </si>
  <si>
    <t>Abner Uribe</t>
  </si>
  <si>
    <t>Adam Cimber</t>
  </si>
  <si>
    <t>Adam Mazur</t>
  </si>
  <si>
    <t>Adam Oller</t>
  </si>
  <si>
    <t>Adam Ottavino</t>
  </si>
  <si>
    <t>Adam Wainwright</t>
  </si>
  <si>
    <t>Adbert Alzolay</t>
  </si>
  <si>
    <t>Adrian Houser</t>
  </si>
  <si>
    <t>Adrian Morejon</t>
  </si>
  <si>
    <t>Albert Suarez</t>
  </si>
  <si>
    <t>Alec Marsh</t>
  </si>
  <si>
    <t>Alek Manoah</t>
  </si>
  <si>
    <t>Alex Cobb</t>
  </si>
  <si>
    <t>Alex Faedo</t>
  </si>
  <si>
    <t>Alex Lange</t>
  </si>
  <si>
    <t>Alex Vesia</t>
  </si>
  <si>
    <t>Alex Wood</t>
  </si>
  <si>
    <t>Alex Young</t>
  </si>
  <si>
    <t>Alexis Diaz</t>
  </si>
  <si>
    <t>Allan Winans</t>
  </si>
  <si>
    <t>Andre Pallante</t>
  </si>
  <si>
    <t>Andres Machado</t>
  </si>
  <si>
    <t>Andres Munoz</t>
  </si>
  <si>
    <t>Andrew Abbott</t>
  </si>
  <si>
    <t>Andrew Chafin</t>
  </si>
  <si>
    <t>Andrew Heaney</t>
  </si>
  <si>
    <t>Andrew Kittredge</t>
  </si>
  <si>
    <t>Andrew Nardi</t>
  </si>
  <si>
    <t>Angel Chivilli</t>
  </si>
  <si>
    <t>Angel Perdomo</t>
  </si>
  <si>
    <t>Angel Zerpa</t>
  </si>
  <si>
    <t>Anthony Banda</t>
  </si>
  <si>
    <t>Anthony Bender</t>
  </si>
  <si>
    <t>Anthony DeSclafani</t>
  </si>
  <si>
    <t>Antonio Senzatela</t>
  </si>
  <si>
    <t>Aroldis Chapman</t>
  </si>
  <si>
    <t>Austin Gomber</t>
  </si>
  <si>
    <t>Austin Pruitt</t>
  </si>
  <si>
    <t>Austin Voth</t>
  </si>
  <si>
    <t>Bailey Falter</t>
  </si>
  <si>
    <t>Beau Brieske</t>
  </si>
  <si>
    <t>Ben Brown</t>
  </si>
  <si>
    <t>Ben Casparius</t>
  </si>
  <si>
    <t>Ben Joyce</t>
  </si>
  <si>
    <t>Ben Lively</t>
  </si>
  <si>
    <t>Bennett Sousa</t>
  </si>
  <si>
    <t>Blake Snell</t>
  </si>
  <si>
    <t>Blake Treinen</t>
  </si>
  <si>
    <t>Bobby Miller</t>
  </si>
  <si>
    <t>Bowden Francis</t>
  </si>
  <si>
    <t>Brad Hand</t>
  </si>
  <si>
    <t>Brad Keller</t>
  </si>
  <si>
    <t>Brad Lord</t>
  </si>
  <si>
    <t>Bradley Blalock</t>
  </si>
  <si>
    <t>Brady Singer</t>
  </si>
  <si>
    <t>Brandon Bielak</t>
  </si>
  <si>
    <t>Brandon Eisert</t>
  </si>
  <si>
    <t>Brandon Pfaadt</t>
  </si>
  <si>
    <t>Brandon Williamson</t>
  </si>
  <si>
    <t>Brandon Woodruff</t>
  </si>
  <si>
    <t>Brandon Young</t>
  </si>
  <si>
    <t>Brant Hurter</t>
  </si>
  <si>
    <t>Braxton Ashcraft</t>
  </si>
  <si>
    <t>Braxton Garrett</t>
  </si>
  <si>
    <t>Brayan Bello</t>
  </si>
  <si>
    <t>Braydon Fisher</t>
  </si>
  <si>
    <t>Brenan Hanifee</t>
  </si>
  <si>
    <t>Brendan White</t>
  </si>
  <si>
    <t>Brendon Little</t>
  </si>
  <si>
    <t>Brennan Bernardino</t>
  </si>
  <si>
    <t>Brent Honeywell</t>
  </si>
  <si>
    <t>Brent Suter</t>
  </si>
  <si>
    <t>Brock Burke</t>
  </si>
  <si>
    <t>Brock Stewart</t>
  </si>
  <si>
    <t>Brooks Raley</t>
  </si>
  <si>
    <t>Brusdar Graterol</t>
  </si>
  <si>
    <t>Bryan Abreu</t>
  </si>
  <si>
    <t>Bryan Baker</t>
  </si>
  <si>
    <t>Bryan Hoeing</t>
  </si>
  <si>
    <t>Bryan Hudson</t>
  </si>
  <si>
    <t>Bryan King</t>
  </si>
  <si>
    <t>Bryan Woo</t>
  </si>
  <si>
    <t>Bryce Elder</t>
  </si>
  <si>
    <t>Bryce Jarvis</t>
  </si>
  <si>
    <t>Bryce Miller</t>
  </si>
  <si>
    <t>Bryse Wilson</t>
  </si>
  <si>
    <t>Bubba Chandler</t>
  </si>
  <si>
    <t>Buck Farmer</t>
  </si>
  <si>
    <t>Burch Smith</t>
  </si>
  <si>
    <t>Cade Cavalli</t>
  </si>
  <si>
    <t>Cade Gibson</t>
  </si>
  <si>
    <t>Cade Horton</t>
  </si>
  <si>
    <t>Cade Povich</t>
  </si>
  <si>
    <t>Cade Smith</t>
  </si>
  <si>
    <t>Caden Dana</t>
  </si>
  <si>
    <t>Cal Quantrill</t>
  </si>
  <si>
    <t>Caleb Ferguson</t>
  </si>
  <si>
    <t>Caleb Thielbar</t>
  </si>
  <si>
    <t>Calvin Faucher</t>
  </si>
  <si>
    <t>Cam Booser</t>
  </si>
  <si>
    <t>Cam Schlittler</t>
  </si>
  <si>
    <t>Camilo Doval</t>
  </si>
  <si>
    <t>Carlos Carrasco</t>
  </si>
  <si>
    <t>Carlos Estevez</t>
  </si>
  <si>
    <t>Carlos Hernandez</t>
  </si>
  <si>
    <t>Carlos Rodon</t>
  </si>
  <si>
    <t>Carlos Vargas</t>
  </si>
  <si>
    <t>Carson Fulmer</t>
  </si>
  <si>
    <t>Carson Spiers</t>
  </si>
  <si>
    <t>Casey Legumina</t>
  </si>
  <si>
    <t>Casey Mize</t>
  </si>
  <si>
    <t>Chad Green</t>
  </si>
  <si>
    <t>Chad Kuhl</t>
  </si>
  <si>
    <t>Chad Patrick</t>
  </si>
  <si>
    <t>Charlie Morton</t>
  </si>
  <si>
    <t>Chase Anderson</t>
  </si>
  <si>
    <t>Chase Dollander</t>
  </si>
  <si>
    <t>Chase Lee</t>
  </si>
  <si>
    <t>Chase Shugart</t>
  </si>
  <si>
    <t>Chase Silseth</t>
  </si>
  <si>
    <t>Chris Bassitt</t>
  </si>
  <si>
    <t>Chris Devenski</t>
  </si>
  <si>
    <t>Chris Flexen</t>
  </si>
  <si>
    <t>Chris Martin</t>
  </si>
  <si>
    <t>Chris Murphy</t>
  </si>
  <si>
    <t>Chris Paddack</t>
  </si>
  <si>
    <t>Chris Roycroft</t>
  </si>
  <si>
    <t>Chris Sale</t>
  </si>
  <si>
    <t>Chris Stratton</t>
  </si>
  <si>
    <t>Cionel Perez</t>
  </si>
  <si>
    <t>Clarke Schmidt</t>
  </si>
  <si>
    <t>Clay Holmes</t>
  </si>
  <si>
    <t>Clayton Kershaw</t>
  </si>
  <si>
    <t>Cody Bradford</t>
  </si>
  <si>
    <t>Cole Irvin</t>
  </si>
  <si>
    <t>Cole Ragans</t>
  </si>
  <si>
    <t>Cole Sands</t>
  </si>
  <si>
    <t>Colin Holderman</t>
  </si>
  <si>
    <t>Colin Poche</t>
  </si>
  <si>
    <t>Colin Rea</t>
  </si>
  <si>
    <t>Colin Selby</t>
  </si>
  <si>
    <t>Collin McHugh</t>
  </si>
  <si>
    <t>Collin Snider</t>
  </si>
  <si>
    <t>Colton Gordon</t>
  </si>
  <si>
    <t>Connor Brogdon</t>
  </si>
  <si>
    <t>Connor Phillips</t>
  </si>
  <si>
    <t>Connor Seabold</t>
  </si>
  <si>
    <t>Cooper Criswell</t>
  </si>
  <si>
    <t>Corbin Burnes</t>
  </si>
  <si>
    <t>Corey Kluber</t>
  </si>
  <si>
    <t>Craig Kimbrel</t>
  </si>
  <si>
    <t>Cristian Javier</t>
  </si>
  <si>
    <t>Cristopher Sanchez</t>
  </si>
  <si>
    <t>DJ Herz</t>
  </si>
  <si>
    <t>DL Hall</t>
  </si>
  <si>
    <t>Dakota Hudson</t>
  </si>
  <si>
    <t>Dane Dunning</t>
  </si>
  <si>
    <t>Daniel Bard</t>
  </si>
  <si>
    <t>Daniel Coulombe</t>
  </si>
  <si>
    <t>Daniel Hudson</t>
  </si>
  <si>
    <t>Daniel Lynch</t>
  </si>
  <si>
    <t>Daniel Palencia</t>
  </si>
  <si>
    <t>Danny Young</t>
  </si>
  <si>
    <t>Dany Jimenez</t>
  </si>
  <si>
    <t>Dauri Moreta</t>
  </si>
  <si>
    <t>David Bednar</t>
  </si>
  <si>
    <t>David Festa</t>
  </si>
  <si>
    <t>David Peterson</t>
  </si>
  <si>
    <t>David Robertson</t>
  </si>
  <si>
    <t>Davis Daniel</t>
  </si>
  <si>
    <t>Davis Martin</t>
  </si>
  <si>
    <t>Daysbel Hernandez</t>
  </si>
  <si>
    <t>Dean Kremer</t>
  </si>
  <si>
    <t>Declan Cronin</t>
  </si>
  <si>
    <t>Dennis Santana</t>
  </si>
  <si>
    <t>Derek Law</t>
  </si>
  <si>
    <t>Devin Williams</t>
  </si>
  <si>
    <t>Dietrich Enns</t>
  </si>
  <si>
    <t>Dinelson Lamet</t>
  </si>
  <si>
    <t>Domingo German</t>
  </si>
  <si>
    <t>Dominic Leone</t>
  </si>
  <si>
    <t>Drew Rasmussen</t>
  </si>
  <si>
    <t>Drew Rom</t>
  </si>
  <si>
    <t>Drew Smith</t>
  </si>
  <si>
    <t>Drew Smyly</t>
  </si>
  <si>
    <t>Drew Thorpe</t>
  </si>
  <si>
    <t>Drew VerHagen</t>
  </si>
  <si>
    <t>Drey Jameson</t>
  </si>
  <si>
    <t>Dylan Cease</t>
  </si>
  <si>
    <t>Dylan Dodd</t>
  </si>
  <si>
    <t>Dylan Floro</t>
  </si>
  <si>
    <t>Dylan Lee</t>
  </si>
  <si>
    <t>Easton Lucas</t>
  </si>
  <si>
    <t>Eduard Bazardo</t>
  </si>
  <si>
    <t>Eduardo Rodriguez</t>
  </si>
  <si>
    <t>Edward Cabrera</t>
  </si>
  <si>
    <t>Edwin Diaz</t>
  </si>
  <si>
    <t>Edwin Uceta</t>
  </si>
  <si>
    <t>Eli Morgan</t>
  </si>
  <si>
    <t>Elvis Peguero</t>
  </si>
  <si>
    <t>Emilio Pagan</t>
  </si>
  <si>
    <t>Emmanuel Clase</t>
  </si>
  <si>
    <t>Emmet Sheehan</t>
  </si>
  <si>
    <t>Enyel De Los Santos</t>
  </si>
  <si>
    <t>Erasmo Ramirez</t>
  </si>
  <si>
    <t>Erick Fedde</t>
  </si>
  <si>
    <t>Erik Miller</t>
  </si>
  <si>
    <t>Erik Swanson</t>
  </si>
  <si>
    <t>Eury Perez</t>
  </si>
  <si>
    <t>Evan Phillips</t>
  </si>
  <si>
    <t>Felix Bautista</t>
  </si>
  <si>
    <t>Fernando Cruz</t>
  </si>
  <si>
    <t>Framber Valdez</t>
  </si>
  <si>
    <t>Frankie Montas</t>
  </si>
  <si>
    <t>Fraser Ellard</t>
  </si>
  <si>
    <t>Freddy Peralta</t>
  </si>
  <si>
    <t>Gabe Speier</t>
  </si>
  <si>
    <t>Garrett Cleavinger</t>
  </si>
  <si>
    <t>Garrett Crochet</t>
  </si>
  <si>
    <t>Garrett Whitlock</t>
  </si>
  <si>
    <t>Gavin Stone</t>
  </si>
  <si>
    <t>Gavin Williams</t>
  </si>
  <si>
    <t>Genesis Cabrera</t>
  </si>
  <si>
    <t>George Kirby</t>
  </si>
  <si>
    <t>German Marquez</t>
  </si>
  <si>
    <t>Gerrit Cole</t>
  </si>
  <si>
    <t>Giovanny Gallegos</t>
  </si>
  <si>
    <t>Gordon Graceffo</t>
  </si>
  <si>
    <t>Graham Ashcraft</t>
  </si>
  <si>
    <t>Grant Anderson</t>
  </si>
  <si>
    <t>Grant Hartwig</t>
  </si>
  <si>
    <t>Grant Holman</t>
  </si>
  <si>
    <t>Grant Taylor</t>
  </si>
  <si>
    <t>Grayson Rodriguez</t>
  </si>
  <si>
    <t>Greg Weissert</t>
  </si>
  <si>
    <t>Gregory Santos</t>
  </si>
  <si>
    <t>Gregory Soto</t>
  </si>
  <si>
    <t>Griffin Canning</t>
  </si>
  <si>
    <t>Griffin Jax</t>
  </si>
  <si>
    <t>Hans Crouse</t>
  </si>
  <si>
    <t>Hayden Birdsong</t>
  </si>
  <si>
    <t>Hayden Wesneski</t>
  </si>
  <si>
    <t>Hector Neris</t>
  </si>
  <si>
    <t>Hoby Milner</t>
  </si>
  <si>
    <t>Hogan Harris</t>
  </si>
  <si>
    <t>Huascar Brazoban</t>
  </si>
  <si>
    <t>Hunter Brown</t>
  </si>
  <si>
    <t>Hunter Dobbins</t>
  </si>
  <si>
    <t>Hunter Gaddis</t>
  </si>
  <si>
    <t>Hunter Greene</t>
  </si>
  <si>
    <t>Hunter Harvey</t>
  </si>
  <si>
    <t>Hunter Stratton</t>
  </si>
  <si>
    <t>Hunter Strickland</t>
  </si>
  <si>
    <t>Hurston Waldrep</t>
  </si>
  <si>
    <t>Hyun-Jin Ryu</t>
  </si>
  <si>
    <t>Ian Gibaut</t>
  </si>
  <si>
    <t>Ian Hamilton</t>
  </si>
  <si>
    <t>Ian Seymour</t>
  </si>
  <si>
    <t>Isaac Mattson</t>
  </si>
  <si>
    <t>Isaiah Campbell</t>
  </si>
  <si>
    <t>J. P. France</t>
  </si>
  <si>
    <t>J. T. Ginn</t>
  </si>
  <si>
    <t>J.T. Chargois</t>
  </si>
  <si>
    <t>JP Sears</t>
  </si>
  <si>
    <t>Jack Dreyer</t>
  </si>
  <si>
    <t>Jack Flaherty</t>
  </si>
  <si>
    <t>Jack Leiter</t>
  </si>
  <si>
    <t>Jack Perkins</t>
  </si>
  <si>
    <t>Jackson Jobe</t>
  </si>
  <si>
    <t>Jackson Rutledge</t>
  </si>
  <si>
    <t>Jacob Barnes</t>
  </si>
  <si>
    <t>Jacob Lopez</t>
  </si>
  <si>
    <t>Jacob Misiorowski</t>
  </si>
  <si>
    <t>Jacob Webb</t>
  </si>
  <si>
    <t>Jacob deGrom</t>
  </si>
  <si>
    <t>Jaime Barria</t>
  </si>
  <si>
    <t>Jake Bird</t>
  </si>
  <si>
    <t>Jake Diekman</t>
  </si>
  <si>
    <t>Jake Junis</t>
  </si>
  <si>
    <t>Jake Latz</t>
  </si>
  <si>
    <t>Jake Woodford</t>
  </si>
  <si>
    <t>Jalen Beeks</t>
  </si>
  <si>
    <t>James Kaprielian</t>
  </si>
  <si>
    <t>James Karinchak</t>
  </si>
  <si>
    <t>James McArthur</t>
  </si>
  <si>
    <t>James Paxton</t>
  </si>
  <si>
    <t>Jameson Taillon</t>
  </si>
  <si>
    <t>Janson Junk</t>
  </si>
  <si>
    <t>Jared Jones</t>
  </si>
  <si>
    <t>Jared Koenig</t>
  </si>
  <si>
    <t>Jared Shuster</t>
  </si>
  <si>
    <t>Jason Adam</t>
  </si>
  <si>
    <t>Jason Alexander</t>
  </si>
  <si>
    <t>Jason Foley</t>
  </si>
  <si>
    <t>Javier Assad</t>
  </si>
  <si>
    <t>Jay Jackson</t>
  </si>
  <si>
    <t>Jeff Hoffman</t>
  </si>
  <si>
    <t>Jeffrey Springs</t>
  </si>
  <si>
    <t>Jeremiah Estrada</t>
  </si>
  <si>
    <t>Jesse Chavez</t>
  </si>
  <si>
    <t>Jesse Scholtens</t>
  </si>
  <si>
    <t>Jesus Luzardo</t>
  </si>
  <si>
    <t>Jhoan Duran</t>
  </si>
  <si>
    <t>Jhony Brito</t>
  </si>
  <si>
    <t>Jimmy Cordero</t>
  </si>
  <si>
    <t>Jimmy Herget</t>
  </si>
  <si>
    <t>Jimmy Lambert</t>
  </si>
  <si>
    <t>JoJo Romero</t>
  </si>
  <si>
    <t>Joan Adon</t>
  </si>
  <si>
    <t>Joe Boyle</t>
  </si>
  <si>
    <t>Joe Jimenez</t>
  </si>
  <si>
    <t>Joe Kelly</t>
  </si>
  <si>
    <t>Joe Mantiply</t>
  </si>
  <si>
    <t>Joe Musgrove</t>
  </si>
  <si>
    <t>Joe Ross</t>
  </si>
  <si>
    <t>Joe Ryan</t>
  </si>
  <si>
    <t>Joel Payamps</t>
  </si>
  <si>
    <t>Joey Cantillo</t>
  </si>
  <si>
    <t>Joey Estes</t>
  </si>
  <si>
    <t>Joey Lucchesi</t>
  </si>
  <si>
    <t>Joey Wentz</t>
  </si>
  <si>
    <t>Johan Oviedo</t>
  </si>
  <si>
    <t>John Brebbia</t>
  </si>
  <si>
    <t>John Curtiss</t>
  </si>
  <si>
    <t>John King</t>
  </si>
  <si>
    <t>John Means</t>
  </si>
  <si>
    <t>John Schreiber</t>
  </si>
  <si>
    <t>Johnny Cueto</t>
  </si>
  <si>
    <t>Jon Gray</t>
  </si>
  <si>
    <t>Jonah Tong</t>
  </si>
  <si>
    <t>Jonathan Bowlan</t>
  </si>
  <si>
    <t>Jonathan Cannon</t>
  </si>
  <si>
    <t>Jonathan Hernandez</t>
  </si>
  <si>
    <t>Jordan Hicks</t>
  </si>
  <si>
    <t>Jordan Leasure</t>
  </si>
  <si>
    <t>Jordan Lyles</t>
  </si>
  <si>
    <t>Jordan Montgomery</t>
  </si>
  <si>
    <t>Jordan Romano</t>
  </si>
  <si>
    <t>Jordan Weems</t>
  </si>
  <si>
    <t>Jordan Wicks</t>
  </si>
  <si>
    <t>Jorge Alcala</t>
  </si>
  <si>
    <t>Jorge Lopez</t>
  </si>
  <si>
    <t>Jose Alvarado</t>
  </si>
  <si>
    <t>Jose Berrios</t>
  </si>
  <si>
    <t>Jose Butto</t>
  </si>
  <si>
    <t>Jose Cisnero</t>
  </si>
  <si>
    <t>Jose Cuas</t>
  </si>
  <si>
    <t>Jose Fermin</t>
  </si>
  <si>
    <t>Jose Ferrer</t>
  </si>
  <si>
    <t>Jose Hernandez</t>
  </si>
  <si>
    <t>Jose Leclerc</t>
  </si>
  <si>
    <t>Jose Quijada</t>
  </si>
  <si>
    <t>Jose Ruiz</t>
  </si>
  <si>
    <t>Jose Soriano</t>
  </si>
  <si>
    <t>Jose Suarez</t>
  </si>
  <si>
    <t>Jose Urena</t>
  </si>
  <si>
    <t>Jose Urquidy</t>
  </si>
  <si>
    <t>Josh Hader</t>
  </si>
  <si>
    <t>Josh Sborz</t>
  </si>
  <si>
    <t>Josh Simpson</t>
  </si>
  <si>
    <t>Josh Winckowski</t>
  </si>
  <si>
    <t>Josiah Gray</t>
  </si>
  <si>
    <t>Julian Merryweather</t>
  </si>
  <si>
    <t>Julio Teheran</t>
  </si>
  <si>
    <t>Julio Urias</t>
  </si>
  <si>
    <t>Justin Lawrence</t>
  </si>
  <si>
    <t>Justin Martinez</t>
  </si>
  <si>
    <t>Justin Slaten</t>
  </si>
  <si>
    <t>Justin Steele</t>
  </si>
  <si>
    <t>Justin Sterner</t>
  </si>
  <si>
    <t>Justin Topa</t>
  </si>
  <si>
    <t>Justin Verlander</t>
  </si>
  <si>
    <t>Justin Wilson</t>
  </si>
  <si>
    <t>Justin Wrobleski</t>
  </si>
  <si>
    <t>Kai-Wei Teng</t>
  </si>
  <si>
    <t>Kaleb Ort</t>
  </si>
  <si>
    <t>Karl Kauffmann</t>
  </si>
  <si>
    <t>Keaton Winn</t>
  </si>
  <si>
    <t>Keegan Akin</t>
  </si>
  <si>
    <t>Keegan Thompson</t>
  </si>
  <si>
    <t>Keider Montero</t>
  </si>
  <si>
    <t>Ken Waldichuk</t>
  </si>
  <si>
    <t>Kendall Graveman</t>
  </si>
  <si>
    <t>Kenley Jansen</t>
  </si>
  <si>
    <t>Kenny Rosenberg</t>
  </si>
  <si>
    <t>Kenta Maeda</t>
  </si>
  <si>
    <t>Kevin Gausman</t>
  </si>
  <si>
    <t>Kevin Ginkel</t>
  </si>
  <si>
    <t>Kevin Kelly</t>
  </si>
  <si>
    <t>Kirby Yates</t>
  </si>
  <si>
    <t>Kodai Senga</t>
  </si>
  <si>
    <t>Kody Funderburk</t>
  </si>
  <si>
    <t>Kolby Allard</t>
  </si>
  <si>
    <t>Kris Bubic</t>
  </si>
  <si>
    <t>Kumar Rocker</t>
  </si>
  <si>
    <t>Kutter Crawford</t>
  </si>
  <si>
    <t>Kyle Bradish</t>
  </si>
  <si>
    <t>Kyle Finnegan</t>
  </si>
  <si>
    <t>Kyle Freeland</t>
  </si>
  <si>
    <t>Kyle Gibson</t>
  </si>
  <si>
    <t>Kyle Harrison</t>
  </si>
  <si>
    <t>Kyle Hart</t>
  </si>
  <si>
    <t>Kyle Hendricks</t>
  </si>
  <si>
    <t>Kyle Leahy</t>
  </si>
  <si>
    <t>Kyle Muller</t>
  </si>
  <si>
    <t>Kyle Nelson</t>
  </si>
  <si>
    <t>Kyle Nicolas</t>
  </si>
  <si>
    <t>Lake Bachar</t>
  </si>
  <si>
    <t>Lance Lynn</t>
  </si>
  <si>
    <t>Lance McCullers</t>
  </si>
  <si>
    <t>Landen Roupp</t>
  </si>
  <si>
    <t>Landon Knack</t>
  </si>
  <si>
    <t>Logan Allen</t>
  </si>
  <si>
    <t>Logan Evans</t>
  </si>
  <si>
    <t>Logan Gilbert</t>
  </si>
  <si>
    <t>Logan Webb</t>
  </si>
  <si>
    <t>Lou Trivino</t>
  </si>
  <si>
    <t>Louie Varland</t>
  </si>
  <si>
    <t>Lucas Erceg</t>
  </si>
  <si>
    <t>Lucas Giolito</t>
  </si>
  <si>
    <t>Lucas Sims</t>
  </si>
  <si>
    <t>Luis Castillo</t>
  </si>
  <si>
    <t>Luis Cessa</t>
  </si>
  <si>
    <t>Luis Garcia</t>
  </si>
  <si>
    <t>Luis Gil</t>
  </si>
  <si>
    <t>Luis Medina</t>
  </si>
  <si>
    <t>Luis Miguel Castillo</t>
  </si>
  <si>
    <t>Luis Ortiz</t>
  </si>
  <si>
    <t>Luis Severino</t>
  </si>
  <si>
    <t>Luke Jackson</t>
  </si>
  <si>
    <t>Luke Weaver</t>
  </si>
  <si>
    <t>Lyon Richardson</t>
  </si>
  <si>
    <t>Manuel Rodriguez</t>
  </si>
  <si>
    <t>Marco Gonzales</t>
  </si>
  <si>
    <t>Marcus Stroman</t>
  </si>
  <si>
    <t>Mark Leiter</t>
  </si>
  <si>
    <t>Martin Perez</t>
  </si>
  <si>
    <t>Mason Black</t>
  </si>
  <si>
    <t>Mason Englert</t>
  </si>
  <si>
    <t>Mason Fluharty</t>
  </si>
  <si>
    <t>Mason Miller</t>
  </si>
  <si>
    <t>Mason Thompson</t>
  </si>
  <si>
    <t>Matt Boyd</t>
  </si>
  <si>
    <t>Matt Brash</t>
  </si>
  <si>
    <t>Matt Festa</t>
  </si>
  <si>
    <t>Matt Koch</t>
  </si>
  <si>
    <t>Matt Manning</t>
  </si>
  <si>
    <t>Matt Moore</t>
  </si>
  <si>
    <t>Matt Strahm</t>
  </si>
  <si>
    <t>Matt Waldron</t>
  </si>
  <si>
    <t>Matthew Liberatore</t>
  </si>
  <si>
    <t>Mauricio Llovera</t>
  </si>
  <si>
    <t>Max Fried</t>
  </si>
  <si>
    <t>Max Kranick</t>
  </si>
  <si>
    <t>Max Scherzer</t>
  </si>
  <si>
    <t>McCade Brown</t>
  </si>
  <si>
    <t>Merrill Kelly</t>
  </si>
  <si>
    <t>Michael Fulmer</t>
  </si>
  <si>
    <t>Michael Grove</t>
  </si>
  <si>
    <t>Michael Kelly</t>
  </si>
  <si>
    <t>Michael King</t>
  </si>
  <si>
    <t>Michael Kopech</t>
  </si>
  <si>
    <t>Michael Lorenzen</t>
  </si>
  <si>
    <t>Michael McGreevy</t>
  </si>
  <si>
    <t>Michael Tonkin</t>
  </si>
  <si>
    <t>Michael Wacha</t>
  </si>
  <si>
    <t>Mick Abel</t>
  </si>
  <si>
    <t>Miguel Castro</t>
  </si>
  <si>
    <t>Mike Baumann</t>
  </si>
  <si>
    <t>Mike Burrows</t>
  </si>
  <si>
    <t>Mike Clevinger</t>
  </si>
  <si>
    <t>Mike Soroka</t>
  </si>
  <si>
    <t>Mike Vasil</t>
  </si>
  <si>
    <t>Miles Mikolas</t>
  </si>
  <si>
    <t>Mitch Keller</t>
  </si>
  <si>
    <t>Mitch Spence</t>
  </si>
  <si>
    <t>Mitchell Parker</t>
  </si>
  <si>
    <t>Nabil Crismatt</t>
  </si>
  <si>
    <t>Nate Pearson</t>
  </si>
  <si>
    <t>Nathan Eovaldi</t>
  </si>
  <si>
    <t>Nestor Cortes</t>
  </si>
  <si>
    <t>Nick Anderson</t>
  </si>
  <si>
    <t>Nick Lodolo</t>
  </si>
  <si>
    <t>Nick Martinez</t>
  </si>
  <si>
    <t>Nick Mears</t>
  </si>
  <si>
    <t>Nick Nastrini</t>
  </si>
  <si>
    <t>Nick Pivetta</t>
  </si>
  <si>
    <t>Nick Sandlin</t>
  </si>
  <si>
    <t>Noah Cameron</t>
  </si>
  <si>
    <t>Noah Davis</t>
  </si>
  <si>
    <t>Noah Syndergaard</t>
  </si>
  <si>
    <t>Orion Kerkering</t>
  </si>
  <si>
    <t>Osvaldo Bido</t>
  </si>
  <si>
    <t>Pablo Lopez</t>
  </si>
  <si>
    <t>Patrick Corbin</t>
  </si>
  <si>
    <t>Patrick Sandoval</t>
  </si>
  <si>
    <t>Paul Blackburn</t>
  </si>
  <si>
    <t>Paul Sewald</t>
  </si>
  <si>
    <t>Paul Skenes</t>
  </si>
  <si>
    <t>Pedro Avila</t>
  </si>
  <si>
    <t>Peter Fairbanks</t>
  </si>
  <si>
    <t>Peter Lambert</t>
  </si>
  <si>
    <t>Peter Strzelecki</t>
  </si>
  <si>
    <t>Peyton Battenfield</t>
  </si>
  <si>
    <t>Phil Bickford</t>
  </si>
  <si>
    <t>Phil Maton</t>
  </si>
  <si>
    <t>Pierce Johnson</t>
  </si>
  <si>
    <t>Porter Hodge</t>
  </si>
  <si>
    <t>Quinn Priester</t>
  </si>
  <si>
    <t>Rafael Montero</t>
  </si>
  <si>
    <t>Raisel Iglesias</t>
  </si>
  <si>
    <t>Randy Rodriguez</t>
  </si>
  <si>
    <t>Randy Vasquez</t>
  </si>
  <si>
    <t>Ranger Suarez</t>
  </si>
  <si>
    <t>Ray Kerr</t>
  </si>
  <si>
    <t>Reed Garrett</t>
  </si>
  <si>
    <t>Reese Olson</t>
  </si>
  <si>
    <t>Reid Detmers</t>
  </si>
  <si>
    <t>Reynaldo Lopez</t>
  </si>
  <si>
    <t>Rich Hill</t>
  </si>
  <si>
    <t>Richard Fitts</t>
  </si>
  <si>
    <t>Richard Lovelady</t>
  </si>
  <si>
    <t>Roansy Contreras</t>
  </si>
  <si>
    <t>Rob Zastryzny</t>
  </si>
  <si>
    <t>Robbie Ray</t>
  </si>
  <si>
    <t>Robert Garcia</t>
  </si>
  <si>
    <t>Robert Stephenson</t>
  </si>
  <si>
    <t>Robert Suarez</t>
  </si>
  <si>
    <t>Roddery Munoz</t>
  </si>
  <si>
    <t>Ron Marinaccio</t>
  </si>
  <si>
    <t>Ronel Blanco</t>
  </si>
  <si>
    <t>Ronny Henriquez</t>
  </si>
  <si>
    <t>Ross Stripling</t>
  </si>
  <si>
    <t>Ryan Borucki</t>
  </si>
  <si>
    <t>Ryan Brasier</t>
  </si>
  <si>
    <t>Ryan Feltner</t>
  </si>
  <si>
    <t>Ryan Fernandez</t>
  </si>
  <si>
    <t>Ryan Gusto</t>
  </si>
  <si>
    <t>Ryan Helsley</t>
  </si>
  <si>
    <t>Ryan Pepiot</t>
  </si>
  <si>
    <t>Ryan Pressly</t>
  </si>
  <si>
    <t>Ryan Thompson</t>
  </si>
  <si>
    <t>Ryan Walker</t>
  </si>
  <si>
    <t>Ryan Weathers</t>
  </si>
  <si>
    <t>Ryan Yarbrough</t>
  </si>
  <si>
    <t>Ryan Zeferjahn</t>
  </si>
  <si>
    <t>Ryne Nelson</t>
  </si>
  <si>
    <t>Ryne Stanek</t>
  </si>
  <si>
    <t>Sam Aldegheri</t>
  </si>
  <si>
    <t>Sam Bachman</t>
  </si>
  <si>
    <t>Sam Hentges</t>
  </si>
  <si>
    <t>Sam Moll</t>
  </si>
  <si>
    <t>Sammy Long</t>
  </si>
  <si>
    <t>Sandy Alcantara</t>
  </si>
  <si>
    <t>Scott Alexander</t>
  </si>
  <si>
    <t>Scott Barlow</t>
  </si>
  <si>
    <t>Scott McGough</t>
  </si>
  <si>
    <t>Sean Burke</t>
  </si>
  <si>
    <t>Sean Hjelle</t>
  </si>
  <si>
    <t>Sean Manaea</t>
  </si>
  <si>
    <t>Sean Newcomb</t>
  </si>
  <si>
    <t>Seranthony Dominguez</t>
  </si>
  <si>
    <t>Seth Halvorsen</t>
  </si>
  <si>
    <t>Seth Martinez</t>
  </si>
  <si>
    <t>Shane Bieber</t>
  </si>
  <si>
    <t>Shane McClanahan</t>
  </si>
  <si>
    <t>Shane Smith</t>
  </si>
  <si>
    <t>Shawn Armstrong</t>
  </si>
  <si>
    <t>Shelby Miller</t>
  </si>
  <si>
    <t>Shintaro Fujinami</t>
  </si>
  <si>
    <t>Shohei Ohtani</t>
  </si>
  <si>
    <t>Simeon Woods Richardson</t>
  </si>
  <si>
    <t>Sonny Gray</t>
  </si>
  <si>
    <t>Spencer Arrighetti</t>
  </si>
  <si>
    <t>Spencer Bivens</t>
  </si>
  <si>
    <t>Spencer Schwellenbach</t>
  </si>
  <si>
    <t>Spencer Strider</t>
  </si>
  <si>
    <t>Spencer Turnbull</t>
  </si>
  <si>
    <t>Stephen Kolek</t>
  </si>
  <si>
    <t>Steven Okert</t>
  </si>
  <si>
    <t>Steven Wilson</t>
  </si>
  <si>
    <t>T.J. McFarland</t>
  </si>
  <si>
    <t>Taijuan Walker</t>
  </si>
  <si>
    <t>Taj Bradley</t>
  </si>
  <si>
    <t>Tanner Banks</t>
  </si>
  <si>
    <t>Tanner Bibee</t>
  </si>
  <si>
    <t>Tanner Gordon</t>
  </si>
  <si>
    <t>Tanner Houck</t>
  </si>
  <si>
    <t>Tanner Scott</t>
  </si>
  <si>
    <t>Tarik Skubal</t>
  </si>
  <si>
    <t>Tayler Saucedo</t>
  </si>
  <si>
    <t>Tayler Scott</t>
  </si>
  <si>
    <t>Taylor Clarke</t>
  </si>
  <si>
    <t>Taylor Rogers</t>
  </si>
  <si>
    <t>Thomas Hatch</t>
  </si>
  <si>
    <t>Tim Herrin</t>
  </si>
  <si>
    <t>Tim Hill</t>
  </si>
  <si>
    <t>Tim Mayza</t>
  </si>
  <si>
    <t>Tobias Myers</t>
  </si>
  <si>
    <t>Tommy Henry</t>
  </si>
  <si>
    <t>Tommy Kahnle</t>
  </si>
  <si>
    <t>Tommy Nance</t>
  </si>
  <si>
    <t>Tomoyuki Sugano</t>
  </si>
  <si>
    <t>Tony Gonsolin</t>
  </si>
  <si>
    <t>Tony Santillan</t>
  </si>
  <si>
    <t>Touki Toussaint</t>
  </si>
  <si>
    <t>Travis Adams</t>
  </si>
  <si>
    <t>Trent Thornton</t>
  </si>
  <si>
    <t>Trevor Gott</t>
  </si>
  <si>
    <t>Trevor May</t>
  </si>
  <si>
    <t>Trevor Megill</t>
  </si>
  <si>
    <t>Trevor Richards</t>
  </si>
  <si>
    <t>Trevor Rogers</t>
  </si>
  <si>
    <t>Trevor Stephan</t>
  </si>
  <si>
    <t>Trevor Williams</t>
  </si>
  <si>
    <t>Tristan Beck</t>
  </si>
  <si>
    <t>Triston McKenzie</t>
  </si>
  <si>
    <t>Troy Melton</t>
  </si>
  <si>
    <t>Ty Blach</t>
  </si>
  <si>
    <t>Tyler Alexander</t>
  </si>
  <si>
    <t>Tyler Anderson</t>
  </si>
  <si>
    <t>Tyler Ferguson</t>
  </si>
  <si>
    <t>Tyler Gilbert</t>
  </si>
  <si>
    <t>Tyler Glasnow</t>
  </si>
  <si>
    <t>Tyler Holton</t>
  </si>
  <si>
    <t>Tyler Kinley</t>
  </si>
  <si>
    <t>Tyler Mahle</t>
  </si>
  <si>
    <t>Tyler Phillips</t>
  </si>
  <si>
    <t>Tyler Rogers</t>
  </si>
  <si>
    <t>Tyler Wells</t>
  </si>
  <si>
    <t>Tylor Megill</t>
  </si>
  <si>
    <t>Tyson Miller</t>
  </si>
  <si>
    <t>Valente Bellozo</t>
  </si>
  <si>
    <t>Victor Gonzalez</t>
  </si>
  <si>
    <t>Victor Vodnik</t>
  </si>
  <si>
    <t>Vincent Velasquez</t>
  </si>
  <si>
    <t>Wade Miley</t>
  </si>
  <si>
    <t>Walker Buehler</t>
  </si>
  <si>
    <t>Wandy Peralta</t>
  </si>
  <si>
    <t>Will Smith</t>
  </si>
  <si>
    <t>Will Vest</t>
  </si>
  <si>
    <t>Will Warren</t>
  </si>
  <si>
    <t>Xzavion Curry</t>
  </si>
  <si>
    <t>Yariel Rodriguez</t>
  </si>
  <si>
    <t>Yency Almonte</t>
  </si>
  <si>
    <t>Yennier Cano</t>
  </si>
  <si>
    <t>Yimi Garcia</t>
  </si>
  <si>
    <t>Yoendrys Gomez</t>
  </si>
  <si>
    <t>Yohan Ramirez</t>
  </si>
  <si>
    <t>Yonny Chirinos</t>
  </si>
  <si>
    <t>Yoshinobu Yamamoto</t>
  </si>
  <si>
    <t>Yu Darvish</t>
  </si>
  <si>
    <t>Yuki Matsui</t>
  </si>
  <si>
    <t>Yusei Kikuchi</t>
  </si>
  <si>
    <t>Zac Gallen</t>
  </si>
  <si>
    <t>Zach Davies</t>
  </si>
  <si>
    <t>Zach Eflin</t>
  </si>
  <si>
    <t>Zach Pop</t>
  </si>
  <si>
    <t>Zack Greinke</t>
  </si>
  <si>
    <t>Zack Kelly</t>
  </si>
  <si>
    <t>Zack Littell</t>
  </si>
  <si>
    <t>Zack Thompson</t>
  </si>
  <si>
    <t>Zack Wheeler</t>
  </si>
  <si>
    <t>Zebby Matthews</t>
  </si>
  <si>
    <t>Team F5 Batting Splits  —  update via f5_pipeline.py</t>
  </si>
  <si>
    <t>Team</t>
  </si>
  <si>
    <t>vs_RHP</t>
  </si>
  <si>
    <t>vs_LHP</t>
  </si>
  <si>
    <t>ARI</t>
  </si>
  <si>
    <t>ATH</t>
  </si>
  <si>
    <t>ATL</t>
  </si>
  <si>
    <t>BAL</t>
  </si>
  <si>
    <t>BOS</t>
  </si>
  <si>
    <t>CHC</t>
  </si>
  <si>
    <t>CIN</t>
  </si>
  <si>
    <t>CLE</t>
  </si>
  <si>
    <t>COL</t>
  </si>
  <si>
    <t>CWS</t>
  </si>
  <si>
    <t>DET</t>
  </si>
  <si>
    <t>HOU</t>
  </si>
  <si>
    <t>KCR</t>
  </si>
  <si>
    <t>LAA</t>
  </si>
  <si>
    <t>LAD</t>
  </si>
  <si>
    <t>MIA</t>
  </si>
  <si>
    <t>MIL</t>
  </si>
  <si>
    <t>MIN</t>
  </si>
  <si>
    <t>NYM</t>
  </si>
  <si>
    <t>NYY</t>
  </si>
  <si>
    <t>PHI</t>
  </si>
  <si>
    <t>PIT</t>
  </si>
  <si>
    <t>SDP</t>
  </si>
  <si>
    <t>SEA</t>
  </si>
  <si>
    <t>SFG</t>
  </si>
  <si>
    <t>STL</t>
  </si>
  <si>
    <t>TBR</t>
  </si>
  <si>
    <t>TEX</t>
  </si>
  <si>
    <t>TOR</t>
  </si>
  <si>
    <t>WSN</t>
  </si>
  <si>
    <t>Park Factors  —  update via f5_pipeline.py</t>
  </si>
  <si>
    <t>Park Factor</t>
  </si>
  <si>
    <t>Umpire Run Delta  —  update via build_ump_ratings.py</t>
  </si>
  <si>
    <t>ump_run_delta = avg_favor / 2  (per-team per-game runs vs average).  &gt;+0.20 = expand zone  |  &lt;−0.10 = squeeze zone</t>
  </si>
  <si>
    <t>Umpire Name</t>
  </si>
  <si>
    <t>ump_run_delta</t>
  </si>
  <si>
    <t>Zone</t>
  </si>
  <si>
    <t>neutral</t>
  </si>
  <si>
    <t>Adam Hamari</t>
  </si>
  <si>
    <t>EXPAND</t>
  </si>
  <si>
    <t>Adrian Johnson</t>
  </si>
  <si>
    <t>Alan Porter</t>
  </si>
  <si>
    <t>Alex MacKay</t>
  </si>
  <si>
    <t>Alex Tosi</t>
  </si>
  <si>
    <t>Alfonso Márquez</t>
  </si>
  <si>
    <t>Andy Fletcher</t>
  </si>
  <si>
    <t>Austin Jones</t>
  </si>
  <si>
    <t>Ben May</t>
  </si>
  <si>
    <t>Bill Miller</t>
  </si>
  <si>
    <t>Brian O'Nora</t>
  </si>
  <si>
    <t>Brian Walsh</t>
  </si>
  <si>
    <t>Brock Ballou</t>
  </si>
  <si>
    <t>Bruce Dreckman</t>
  </si>
  <si>
    <t>CB Bucknor</t>
  </si>
  <si>
    <t>Chad Fairchild</t>
  </si>
  <si>
    <t>Chad Whitson</t>
  </si>
  <si>
    <t>Charlie Ramos</t>
  </si>
  <si>
    <t>Chris Conroy</t>
  </si>
  <si>
    <t>Chris Guccione</t>
  </si>
  <si>
    <t>Clint Vondrak</t>
  </si>
  <si>
    <t>Cory Blaser</t>
  </si>
  <si>
    <t>D.J. Reyburn</t>
  </si>
  <si>
    <t>Dan Bellino</t>
  </si>
  <si>
    <t>Dan Iassogna</t>
  </si>
  <si>
    <t>Dan Merzel</t>
  </si>
  <si>
    <t>David Arrieta</t>
  </si>
  <si>
    <t>David Rackley</t>
  </si>
  <si>
    <t>Derek Thomas</t>
  </si>
  <si>
    <t>Dexter Kelley</t>
  </si>
  <si>
    <t>Doug Eddings</t>
  </si>
  <si>
    <t>Edwin Jimenez</t>
  </si>
  <si>
    <t>Edwin Moscoso</t>
  </si>
  <si>
    <t>Emil Jimenez</t>
  </si>
  <si>
    <t>Erich Bacchus</t>
  </si>
  <si>
    <t>Hunter Wendelstedt</t>
  </si>
  <si>
    <t>Jacob Metz</t>
  </si>
  <si>
    <t>James Hoye</t>
  </si>
  <si>
    <t>James Jean</t>
  </si>
  <si>
    <t>Jansen Visconti</t>
  </si>
  <si>
    <t>Jen Pawol</t>
  </si>
  <si>
    <t>Jeremie Rehak</t>
  </si>
  <si>
    <t>Jim Wolf</t>
  </si>
  <si>
    <t>John Bacon</t>
  </si>
  <si>
    <t>John Libka</t>
  </si>
  <si>
    <t>John Tumpane</t>
  </si>
  <si>
    <t>Jonathan Parra</t>
  </si>
  <si>
    <t>Jordan Baker</t>
  </si>
  <si>
    <t>Junior Valentine</t>
  </si>
  <si>
    <t>Lance Barksdale</t>
  </si>
  <si>
    <t>Lance Barrett</t>
  </si>
  <si>
    <t>Laz Diaz</t>
  </si>
  <si>
    <t>Malachi Moore</t>
  </si>
  <si>
    <t>Manny Gonzalez</t>
  </si>
  <si>
    <t>Mark Carlson</t>
  </si>
  <si>
    <t>Mark Ripperger</t>
  </si>
  <si>
    <t>Mark Wegner</t>
  </si>
  <si>
    <t>Marvin Hudson</t>
  </si>
  <si>
    <t>Mike Estabrook</t>
  </si>
  <si>
    <t>Mike Muchlinski</t>
  </si>
  <si>
    <t>Nate Tomlinson</t>
  </si>
  <si>
    <t>Nic Lentz</t>
  </si>
  <si>
    <t>Nick Mahrley</t>
  </si>
  <si>
    <t>Paul Clemons</t>
  </si>
  <si>
    <t>Phil Cuzzi</t>
  </si>
  <si>
    <t>Quinn Wolcott</t>
  </si>
  <si>
    <t>Rob Drake</t>
  </si>
  <si>
    <t>Ron Kulpa</t>
  </si>
  <si>
    <t>Ryan Additon</t>
  </si>
  <si>
    <t>Ryan Wills</t>
  </si>
  <si>
    <t>Scott Barry</t>
  </si>
  <si>
    <t>Shane Livensparger</t>
  </si>
  <si>
    <t>Steven Jaschinski</t>
  </si>
  <si>
    <t>Todd Tichenor</t>
  </si>
  <si>
    <t>Tom Hanahan</t>
  </si>
  <si>
    <t>Tony Randazzo</t>
  </si>
  <si>
    <t>Tripp Gibson</t>
  </si>
  <si>
    <t>Tyler Jones</t>
  </si>
  <si>
    <t>Vic Carapazza</t>
  </si>
  <si>
    <t>Will Little</t>
  </si>
  <si>
    <t>Willie Traynor</t>
  </si>
  <si>
    <t>daily_forecast.csv  |  2026-03-29  |  Formula-driven from Slate.  Run push_from_slate.py to export.</t>
  </si>
  <si>
    <t>date</t>
  </si>
  <si>
    <t>away_team</t>
  </si>
  <si>
    <t>away_sp</t>
  </si>
  <si>
    <t>home_team</t>
  </si>
  <si>
    <t>home_sp</t>
  </si>
  <si>
    <t>lambda_away</t>
  </si>
  <si>
    <t>lambda_home</t>
  </si>
  <si>
    <t>total_proj</t>
  </si>
  <si>
    <t>winprob_home</t>
  </si>
  <si>
    <t>model_version</t>
  </si>
  <si>
    <t>2026-03-29</t>
  </si>
  <si>
    <t>v3.0</t>
  </si>
  <si>
    <t>Arizona Diamondbacks</t>
  </si>
  <si>
    <t>Detroit Tigers</t>
  </si>
  <si>
    <t>Los Angeles Dodgers</t>
  </si>
  <si>
    <t>San Francisco Giants</t>
  </si>
  <si>
    <t>San Diego Padres</t>
  </si>
  <si>
    <t>New York Yankees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</si>
</sst>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0"/>
      <color rgb="FF000000"/>
      <name val="Arial"/>
      <family val="2"/>
    </font>
    <font>
      <b/>
      <sz val="10"/>
      <color rgb="FF1A5276"/>
      <name val="Arial"/>
      <family val="2"/>
    </font>
    <font>
      <i/>
      <sz val="9"/>
      <color rgb="FF595959"/>
      <name val="Arial"/>
      <family val="2"/>
    </font>
    <font>
      <sz val="9"/>
      <color rgb="FF595959"/>
      <name val="Arial"/>
      <family val="2"/>
    </font>
    <font>
      <b/>
      <sz val="9"/>
      <color rgb="FFC0392B"/>
      <name val="Arial"/>
      <family val="2"/>
    </font>
    <font>
      <b/>
      <sz val="12"/>
      <color rgb="FFFFFFFF"/>
      <name val="Arial"/>
      <family val="2"/>
    </font>
    <font>
      <b/>
      <sz val="10"/>
      <color rgb="FF888888"/>
      <name val="Arial"/>
      <family val="2"/>
    </font>
    <font>
      <sz val="9"/>
      <color rgb="FF88888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2E75B6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10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Fill="1" applyBorder="1"/>
    <xf numFmtId="0" fontId="3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3" customWidth="1"/>
    <col min="2" max="2" width="19.42578125" bestFit="1" customWidth="1"/>
    <col min="3" max="3" width="17" bestFit="1" customWidth="1"/>
    <col min="4" max="4" width="7.5703125" bestFit="1" customWidth="1"/>
    <col min="5" max="5" width="10.28515625" bestFit="1" customWidth="1"/>
    <col min="6" max="6" width="9.5703125" bestFit="1" customWidth="1"/>
    <col min="7" max="7" width="9" customWidth="1"/>
    <col min="8" max="8" width="9.85546875" bestFit="1" customWidth="1"/>
    <col min="9" max="9" width="9" bestFit="1" customWidth="1"/>
    <col min="10" max="10" width="2.85546875" bestFit="1" customWidth="1"/>
    <col min="11" max="11" width="17.85546875" bestFit="1" customWidth="1"/>
    <col min="12" max="12" width="16.42578125" bestFit="1" customWidth="1"/>
    <col min="13" max="13" width="7.5703125" bestFit="1" customWidth="1"/>
    <col min="14" max="14" width="10.5703125" bestFit="1" customWidth="1"/>
    <col min="15" max="15" width="9.85546875" bestFit="1" customWidth="1"/>
    <col min="16" max="16" width="9.28515625" bestFit="1" customWidth="1"/>
    <col min="17" max="17" width="10.140625" bestFit="1" customWidth="1"/>
    <col min="18" max="18" width="9.28515625" bestFit="1" customWidth="1"/>
    <col min="19" max="19" width="15.28515625" bestFit="1" customWidth="1"/>
    <col min="20" max="20" width="7" bestFit="1" customWidth="1"/>
    <col min="21" max="21" width="5.5703125" bestFit="1" customWidth="1"/>
  </cols>
  <sheetData>
    <row r="1" spans="1:21" ht="26.1" customHeight="1" x14ac:dyDescent="0.25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1" ht="14.1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1" ht="18" customHeight="1" x14ac:dyDescent="0.25">
      <c r="A3" s="1" t="s">
        <v>2</v>
      </c>
      <c r="B3" s="2" t="s">
        <v>3</v>
      </c>
      <c r="C3" s="2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1" t="s">
        <v>9</v>
      </c>
      <c r="I3" s="1" t="s">
        <v>10</v>
      </c>
      <c r="J3" s="4" t="s">
        <v>11</v>
      </c>
      <c r="K3" s="2" t="s">
        <v>12</v>
      </c>
      <c r="L3" s="2" t="s">
        <v>13</v>
      </c>
      <c r="M3" s="3" t="s">
        <v>5</v>
      </c>
      <c r="N3" s="3" t="s">
        <v>14</v>
      </c>
      <c r="O3" s="3" t="s">
        <v>15</v>
      </c>
      <c r="P3" s="3" t="s">
        <v>16</v>
      </c>
      <c r="Q3" s="5" t="s">
        <v>17</v>
      </c>
      <c r="R3" s="5" t="s">
        <v>18</v>
      </c>
      <c r="S3" s="2" t="s">
        <v>19</v>
      </c>
      <c r="T3" s="3" t="s">
        <v>20</v>
      </c>
      <c r="U3" s="3" t="s">
        <v>21</v>
      </c>
    </row>
    <row r="4" spans="1:21" ht="17.100000000000001" customHeight="1" x14ac:dyDescent="0.25">
      <c r="A4" s="6">
        <v>1</v>
      </c>
      <c r="B4" s="7" t="s">
        <v>22</v>
      </c>
      <c r="C4" s="8" t="s">
        <v>23</v>
      </c>
      <c r="D4" s="9" t="str">
        <f>IFERROR(_xlfn.XLOOKUP(C4,Pitchers!$A$3:$A$692,Pitchers!$B$3:$B$692,"R",0),IFERROR(_xlfn.XLOOKUP(C4,Pitchers!$A$3:$A$692,Pitchers!$B$3:$B$692,"R",2),"R"))</f>
        <v>R</v>
      </c>
      <c r="E4" s="10">
        <f>IFERROR(_xlfn.XLOOKUP(C4,Pitchers!$A$3:$A$692,Pitchers!$C$3:$C$692,2.52,0),IFERROR(_xlfn.XLOOKUP(C4,Pitchers!$A$3:$A$692,Pitchers!$C$3:$C$692,2.52,2),2.52))</f>
        <v>2.8271999999999999</v>
      </c>
      <c r="F4" s="10">
        <f>IFERROR(IF(M4="L",_xlfn.XLOOKUP(B4,TeamOffense!$D$3:$D$32,TeamOffense!$C$3:$C$32,2.52),_xlfn.XLOOKUP(B4,TeamOffense!$D$3:$D$32,TeamOffense!$B$3:$B$32,2.52)),2.52)</f>
        <v>2.3542000000000001</v>
      </c>
      <c r="G4" s="10">
        <f>IFERROR(ROUND(E4*(F4/2.52)^1.2*0.8*U4,3),"")</f>
        <v>2.214</v>
      </c>
      <c r="H4" s="11">
        <f>IFERROR(1/(1+EXP(-1.3*(G4-P4))),0.5)</f>
        <v>0.31096750741398721</v>
      </c>
      <c r="I4" s="1">
        <f t="shared" ref="I4:I18" si="0">IFERROR(IF(H4&gt;=0.5,-ROUND(H4/(1-H4)*100,0),ROUND((1-H4)/H4*100,0)),"")</f>
        <v>222</v>
      </c>
      <c r="J4" s="12" t="s">
        <v>11</v>
      </c>
      <c r="K4" s="7" t="s">
        <v>24</v>
      </c>
      <c r="L4" s="8" t="s">
        <v>25</v>
      </c>
      <c r="M4" s="9" t="str">
        <f>IFERROR(_xlfn.XLOOKUP(L4,Pitchers!$A$3:$A$692,Pitchers!$B$3:$B$692,"R",0),IFERROR(_xlfn.XLOOKUP(L4,Pitchers!$A$3:$A$692,Pitchers!$B$3:$B$692,"R",2),"R"))</f>
        <v>R</v>
      </c>
      <c r="N4" s="10">
        <f>IFERROR(_xlfn.XLOOKUP(L4,Pitchers!$A$3:$A$692,Pitchers!$C$3:$C$692,2.52,0),IFERROR(_xlfn.XLOOKUP(L4,Pitchers!$A$3:$A$692,Pitchers!$C$3:$C$692,2.52,2),2.52))</f>
        <v>3.6042999999999998</v>
      </c>
      <c r="O4" s="10">
        <f>IFERROR(IF(D4="L",_xlfn.XLOOKUP(K4,TeamOffense!$D$3:$D$32,TeamOffense!$C$3:$C$32,2.52),_xlfn.XLOOKUP(K4,TeamOffense!$D$3:$D$32,TeamOffense!$B$3:$B$32,2.52)),2.52)</f>
        <v>2.3571</v>
      </c>
      <c r="P4" s="10">
        <f>IFERROR(ROUND(N4*(O4/2.52)^1.2*0.8*U4,3),"")</f>
        <v>2.8260000000000001</v>
      </c>
      <c r="Q4" s="13">
        <f>1-H4</f>
        <v>0.68903249258601273</v>
      </c>
      <c r="R4" s="5">
        <f t="shared" ref="R4:R18" si="1">IFERROR(IF(Q4&gt;=0.5,-ROUND(Q4/(1-Q4)*100,0),ROUND((1-Q4)/Q4*100,0)),"")</f>
        <v>-222</v>
      </c>
      <c r="S4" s="8" t="s">
        <v>26</v>
      </c>
      <c r="T4" s="10">
        <f>IFERROR(_xlfn.XLOOKUP(S4,Umpires!$A$4:$A$95,Umpires!$B$4:$B$95,0),0)</f>
        <v>0.245</v>
      </c>
      <c r="U4" s="10">
        <f>IFERROR(_xlfn.XLOOKUP(K4,ParkFactors!$C$3:$C$32,ParkFactors!$B$3:$B$32,1),1)</f>
        <v>1.0620000000000001</v>
      </c>
    </row>
    <row r="5" spans="1:21" ht="17.100000000000001" customHeight="1" x14ac:dyDescent="0.25">
      <c r="A5" s="6">
        <v>2</v>
      </c>
      <c r="B5" s="7" t="s">
        <v>27</v>
      </c>
      <c r="C5" s="8" t="s">
        <v>28</v>
      </c>
      <c r="D5" s="9" t="str">
        <f>IFERROR(_xlfn.XLOOKUP(C5,Pitchers!$A$3:$A$692,Pitchers!$B$3:$B$692,"R",0),IFERROR(_xlfn.XLOOKUP(C5,Pitchers!$A$3:$A$692,Pitchers!$B$3:$B$692,"R",2),"R"))</f>
        <v>L</v>
      </c>
      <c r="E5" s="10">
        <f>IFERROR(_xlfn.XLOOKUP(C5,Pitchers!$A$3:$A$692,Pitchers!$C$3:$C$692,2.52,0),IFERROR(_xlfn.XLOOKUP(C5,Pitchers!$A$3:$A$692,Pitchers!$C$3:$C$692,2.52,2),2.52))</f>
        <v>2.6564999999999999</v>
      </c>
      <c r="F5" s="10">
        <f>IFERROR(IF(M5="L",_xlfn.XLOOKUP(B5,TeamOffense!$D$3:$D$32,TeamOffense!$C$3:$C$32,2.52),_xlfn.XLOOKUP(B5,TeamOffense!$D$3:$D$32,TeamOffense!$B$3:$B$32,2.52)),2.52)</f>
        <v>2.6128999999999998</v>
      </c>
      <c r="G5" s="10">
        <f>IFERROR(ROUND(E5*(F5/2.52)^1.2*0.8*U5,3),"")</f>
        <v>2.21</v>
      </c>
      <c r="H5" s="11">
        <f>IFERROR(1/(1+EXP(-1.3*(G5-P5))),0.5)</f>
        <v>0.59940822847563324</v>
      </c>
      <c r="I5" s="1">
        <f t="shared" si="0"/>
        <v>-150</v>
      </c>
      <c r="J5" s="12" t="s">
        <v>11</v>
      </c>
      <c r="K5" s="7" t="s">
        <v>29</v>
      </c>
      <c r="L5" s="8" t="s">
        <v>30</v>
      </c>
      <c r="M5" s="9" t="str">
        <f>IFERROR(_xlfn.XLOOKUP(L5,Pitchers!$A$3:$A$692,Pitchers!$B$3:$B$692,"R",0),IFERROR(_xlfn.XLOOKUP(L5,Pitchers!$A$3:$A$692,Pitchers!$B$3:$B$692,"R",2),"R"))</f>
        <v>R</v>
      </c>
      <c r="N5" s="10">
        <f>IFERROR(_xlfn.XLOOKUP(L5,Pitchers!$A$3:$A$692,Pitchers!$C$3:$C$692,2.52,0),IFERROR(_xlfn.XLOOKUP(L5,Pitchers!$A$3:$A$692,Pitchers!$C$3:$C$692,2.52,2),2.52))</f>
        <v>2.52</v>
      </c>
      <c r="O5" s="10">
        <f>IFERROR(IF(D5="L",_xlfn.XLOOKUP(K5,TeamOffense!$D$3:$D$32,TeamOffense!$C$3:$C$32,2.52),_xlfn.XLOOKUP(K5,TeamOffense!$D$3:$D$32,TeamOffense!$B$3:$B$32,2.52)),2.52)</f>
        <v>2.4068000000000001</v>
      </c>
      <c r="P5" s="10">
        <f>IFERROR(ROUND(N5*(O5/2.52)^1.2*0.8*U5,3),"")</f>
        <v>1.9</v>
      </c>
      <c r="Q5" s="13">
        <f t="shared" ref="Q5:Q18" si="2">1-H5</f>
        <v>0.40059177152436676</v>
      </c>
      <c r="R5" s="5">
        <f t="shared" si="1"/>
        <v>150</v>
      </c>
      <c r="S5" s="8" t="s">
        <v>31</v>
      </c>
      <c r="T5" s="10">
        <f>IFERROR(_xlfn.XLOOKUP(S5,Umpires!$A$4:$A$95,Umpires!$B$4:$B$95,0),0)</f>
        <v>0.255</v>
      </c>
      <c r="U5" s="10">
        <f>IFERROR(_xlfn.XLOOKUP(K5,ParkFactors!$C$3:$C$32,ParkFactors!$B$3:$B$32,1),1)</f>
        <v>0.99590000000000001</v>
      </c>
    </row>
    <row r="6" spans="1:21" ht="17.100000000000001" customHeight="1" x14ac:dyDescent="0.25">
      <c r="A6" s="6">
        <v>3</v>
      </c>
      <c r="B6" s="7" t="s">
        <v>32</v>
      </c>
      <c r="C6" s="8" t="s">
        <v>33</v>
      </c>
      <c r="D6" s="9" t="str">
        <f>IFERROR(_xlfn.XLOOKUP(C6,Pitchers!$A$3:$A$692,Pitchers!$B$3:$B$692,"R",0),IFERROR(_xlfn.XLOOKUP(C6,Pitchers!$A$3:$A$692,Pitchers!$B$3:$B$692,"R",2),"R"))</f>
        <v>R</v>
      </c>
      <c r="E6" s="10">
        <f>IFERROR(_xlfn.XLOOKUP(C6,Pitchers!$A$3:$A$692,Pitchers!$C$3:$C$692,2.52,0),IFERROR(_xlfn.XLOOKUP(C6,Pitchers!$A$3:$A$692,Pitchers!$C$3:$C$692,2.52,2),2.52))</f>
        <v>2.7336999999999998</v>
      </c>
      <c r="F6" s="10">
        <f>IFERROR(IF(M6="L",_xlfn.XLOOKUP(B6,TeamOffense!$D$3:$D$32,TeamOffense!$C$3:$C$32,2.52),_xlfn.XLOOKUP(B6,TeamOffense!$D$3:$D$32,TeamOffense!$B$3:$B$32,2.52)),2.52)</f>
        <v>2.1913</v>
      </c>
      <c r="G6" s="10">
        <f>IFERROR(ROUND(E6*(F6/2.52)^1.2*0.8*U6,3),"")</f>
        <v>1.92</v>
      </c>
      <c r="H6" s="11">
        <f>IFERROR(1/(1+EXP(-1.3*(G6-P6))),0.5)</f>
        <v>0.74531889882371338</v>
      </c>
      <c r="I6" s="1">
        <f t="shared" si="0"/>
        <v>-293</v>
      </c>
      <c r="J6" s="12" t="s">
        <v>11</v>
      </c>
      <c r="K6" s="7" t="s">
        <v>34</v>
      </c>
      <c r="L6" s="8" t="s">
        <v>35</v>
      </c>
      <c r="M6" s="9" t="str">
        <f>IFERROR(_xlfn.XLOOKUP(L6,Pitchers!$A$3:$A$692,Pitchers!$B$3:$B$692,"R",0),IFERROR(_xlfn.XLOOKUP(L6,Pitchers!$A$3:$A$692,Pitchers!$B$3:$B$692,"R",2),"R"))</f>
        <v>R</v>
      </c>
      <c r="N6" s="10">
        <f>IFERROR(_xlfn.XLOOKUP(L6,Pitchers!$A$3:$A$692,Pitchers!$C$3:$C$692,2.52,0),IFERROR(_xlfn.XLOOKUP(L6,Pitchers!$A$3:$A$692,Pitchers!$C$3:$C$692,2.52,2),2.52))</f>
        <v>1.4388000000000001</v>
      </c>
      <c r="O6" s="10">
        <f>IFERROR(IF(D6="L",_xlfn.XLOOKUP(K6,TeamOffense!$D$3:$D$32,TeamOffense!$C$3:$C$32,2.52),_xlfn.XLOOKUP(K6,TeamOffense!$D$3:$D$32,TeamOffense!$B$3:$B$32,2.52)),2.52)</f>
        <v>2.3412999999999999</v>
      </c>
      <c r="P6" s="10">
        <f>IFERROR(ROUND(N6*(O6/2.52)^1.2*0.8*U6,3),"")</f>
        <v>1.0940000000000001</v>
      </c>
      <c r="Q6" s="13">
        <f t="shared" si="2"/>
        <v>0.25468110117628662</v>
      </c>
      <c r="R6" s="5">
        <f t="shared" si="1"/>
        <v>293</v>
      </c>
      <c r="S6" s="8" t="s">
        <v>36</v>
      </c>
      <c r="T6" s="10">
        <f>IFERROR(_xlfn.XLOOKUP(S6,Umpires!$A$4:$A$95,Umpires!$B$4:$B$95,0),0)</f>
        <v>0.19</v>
      </c>
      <c r="U6" s="10">
        <f>IFERROR(_xlfn.XLOOKUP(K6,ParkFactors!$C$3:$C$32,ParkFactors!$B$3:$B$32,1),1)</f>
        <v>1.0383</v>
      </c>
    </row>
    <row r="7" spans="1:21" ht="17.100000000000001" customHeight="1" x14ac:dyDescent="0.25">
      <c r="A7" s="6">
        <v>4</v>
      </c>
      <c r="B7" s="7" t="s">
        <v>37</v>
      </c>
      <c r="C7" s="8" t="s">
        <v>38</v>
      </c>
      <c r="D7" s="9" t="str">
        <f>IFERROR(_xlfn.XLOOKUP(C7,Pitchers!$A$3:$A$692,Pitchers!$B$3:$B$692,"R",0),IFERROR(_xlfn.XLOOKUP(C7,Pitchers!$A$3:$A$692,Pitchers!$B$3:$B$692,"R",2),"R"))</f>
        <v>R</v>
      </c>
      <c r="E7" s="10">
        <f>IFERROR(_xlfn.XLOOKUP(C7,Pitchers!$A$3:$A$692,Pitchers!$C$3:$C$692,2.52,0),IFERROR(_xlfn.XLOOKUP(C7,Pitchers!$A$3:$A$692,Pitchers!$C$3:$C$692,2.52,2),2.52))</f>
        <v>3.0329999999999999</v>
      </c>
      <c r="F7" s="10">
        <f>IFERROR(IF(M7="L",_xlfn.XLOOKUP(B7,TeamOffense!$D$3:$D$32,TeamOffense!$C$3:$C$32,2.52),_xlfn.XLOOKUP(B7,TeamOffense!$D$3:$D$32,TeamOffense!$B$3:$B$32,2.52)),2.52)</f>
        <v>2.7406999999999999</v>
      </c>
      <c r="G7" s="10">
        <f>IFERROR(ROUND(E7*(F7/2.52)^1.2*0.8*U7,3),"")</f>
        <v>2.609</v>
      </c>
      <c r="H7" s="11">
        <f>IFERROR(1/(1+EXP(-1.3*(G7-P7))),0.5)</f>
        <v>0.57800767000850306</v>
      </c>
      <c r="I7" s="1">
        <f t="shared" si="0"/>
        <v>-137</v>
      </c>
      <c r="J7" s="12" t="s">
        <v>11</v>
      </c>
      <c r="K7" s="7" t="s">
        <v>39</v>
      </c>
      <c r="L7" s="8" t="s">
        <v>40</v>
      </c>
      <c r="M7" s="9" t="str">
        <f>IFERROR(_xlfn.XLOOKUP(L7,Pitchers!$A$3:$A$692,Pitchers!$B$3:$B$692,"R",0),IFERROR(_xlfn.XLOOKUP(L7,Pitchers!$A$3:$A$692,Pitchers!$B$3:$B$692,"R",2),"R"))</f>
        <v>L</v>
      </c>
      <c r="N7" s="10">
        <f>IFERROR(_xlfn.XLOOKUP(L7,Pitchers!$A$3:$A$692,Pitchers!$C$3:$C$692,2.52,0),IFERROR(_xlfn.XLOOKUP(L7,Pitchers!$A$3:$A$692,Pitchers!$C$3:$C$692,2.52,2),2.52))</f>
        <v>2.9116</v>
      </c>
      <c r="O7" s="10">
        <f>IFERROR(IF(D7="L",_xlfn.XLOOKUP(K7,TeamOffense!$D$3:$D$32,TeamOffense!$C$3:$C$32,2.52),_xlfn.XLOOKUP(K7,TeamOffense!$D$3:$D$32,TeamOffense!$B$3:$B$32,2.52)),2.52)</f>
        <v>2.6147999999999998</v>
      </c>
      <c r="P7" s="10">
        <f>IFERROR(ROUND(N7*(O7/2.52)^1.2*0.8*U7,3),"")</f>
        <v>2.367</v>
      </c>
      <c r="Q7" s="13">
        <f t="shared" si="2"/>
        <v>0.42199232999149694</v>
      </c>
      <c r="R7" s="5">
        <f t="shared" si="1"/>
        <v>137</v>
      </c>
      <c r="S7" s="8" t="s">
        <v>41</v>
      </c>
      <c r="T7" s="10">
        <f>IFERROR(_xlfn.XLOOKUP(S7,Umpires!$A$4:$A$95,Umpires!$B$4:$B$95,0),0)</f>
        <v>0.22</v>
      </c>
      <c r="U7" s="10">
        <f>IFERROR(_xlfn.XLOOKUP(K7,ParkFactors!$C$3:$C$32,ParkFactors!$B$3:$B$32,1),1)</f>
        <v>0.97219999999999995</v>
      </c>
    </row>
    <row r="8" spans="1:21" ht="17.100000000000001" customHeight="1" x14ac:dyDescent="0.25">
      <c r="A8" s="6">
        <v>5</v>
      </c>
      <c r="B8" s="7" t="s">
        <v>42</v>
      </c>
      <c r="C8" s="8" t="s">
        <v>43</v>
      </c>
      <c r="D8" s="9" t="str">
        <f>IFERROR(_xlfn.XLOOKUP(C8,Pitchers!$A$3:$A$692,Pitchers!$B$3:$B$692,"R",0),IFERROR(_xlfn.XLOOKUP(C8,Pitchers!$A$3:$A$692,Pitchers!$B$3:$B$692,"R",2),"R"))</f>
        <v>R</v>
      </c>
      <c r="E8" s="10">
        <f>IFERROR(_xlfn.XLOOKUP(C8,Pitchers!$A$3:$A$692,Pitchers!$C$3:$C$692,2.52,0),IFERROR(_xlfn.XLOOKUP(C8,Pitchers!$A$3:$A$692,Pitchers!$C$3:$C$692,2.52,2),2.52))</f>
        <v>2.52</v>
      </c>
      <c r="F8" s="10">
        <f>IFERROR(IF(M8="L",_xlfn.XLOOKUP(B8,TeamOffense!$D$3:$D$32,TeamOffense!$C$3:$C$32,2.52),_xlfn.XLOOKUP(B8,TeamOffense!$D$3:$D$32,TeamOffense!$B$3:$B$32,2.52)),2.52)</f>
        <v>2.6490999999999998</v>
      </c>
      <c r="G8" s="10">
        <f>IFERROR(ROUND(E8*(F8/2.52)^1.2*0.8*U8,3),"")</f>
        <v>2.2599999999999998</v>
      </c>
      <c r="H8" s="11">
        <f>IFERROR(1/(1+EXP(-1.3*(G8-P8))),0.5)</f>
        <v>0.5553472615313102</v>
      </c>
      <c r="I8" s="1">
        <f t="shared" si="0"/>
        <v>-125</v>
      </c>
      <c r="J8" s="12" t="s">
        <v>11</v>
      </c>
      <c r="K8" s="7" t="s">
        <v>44</v>
      </c>
      <c r="L8" s="8" t="s">
        <v>45</v>
      </c>
      <c r="M8" s="9" t="str">
        <f>IFERROR(_xlfn.XLOOKUP(L8,Pitchers!$A$3:$A$692,Pitchers!$B$3:$B$692,"R",0),IFERROR(_xlfn.XLOOKUP(L8,Pitchers!$A$3:$A$692,Pitchers!$B$3:$B$692,"R",2),"R"))</f>
        <v>R</v>
      </c>
      <c r="N8" s="10">
        <f>IFERROR(_xlfn.XLOOKUP(L8,Pitchers!$A$3:$A$692,Pitchers!$C$3:$C$692,2.52,0),IFERROR(_xlfn.XLOOKUP(L8,Pitchers!$A$3:$A$692,Pitchers!$C$3:$C$692,2.52,2),2.52))</f>
        <v>2.52</v>
      </c>
      <c r="O8" s="10">
        <f>IFERROR(IF(D8="L",_xlfn.XLOOKUP(K8,TeamOffense!$D$3:$D$32,TeamOffense!$C$3:$C$32,2.52),_xlfn.XLOOKUP(K8,TeamOffense!$D$3:$D$32,TeamOffense!$B$3:$B$32,2.52)),2.52)</f>
        <v>2.4809000000000001</v>
      </c>
      <c r="P8" s="10">
        <f>IFERROR(ROUND(N8*(O8/2.52)^1.2*0.8*U8,3),"")</f>
        <v>2.089</v>
      </c>
      <c r="Q8" s="13">
        <f t="shared" si="2"/>
        <v>0.4446527384686898</v>
      </c>
      <c r="R8" s="5">
        <f t="shared" si="1"/>
        <v>125</v>
      </c>
      <c r="S8" s="8" t="s">
        <v>46</v>
      </c>
      <c r="T8" s="10">
        <f>IFERROR(_xlfn.XLOOKUP(S8,Umpires!$A$4:$A$95,Umpires!$B$4:$B$95,0),0)</f>
        <v>0.19500000000000001</v>
      </c>
      <c r="U8" s="10">
        <f>IFERROR(_xlfn.XLOOKUP(K8,ParkFactors!$C$3:$C$32,ParkFactors!$B$3:$B$32,1),1)</f>
        <v>1.0557000000000001</v>
      </c>
    </row>
    <row r="9" spans="1:21" ht="17.100000000000001" customHeight="1" x14ac:dyDescent="0.25">
      <c r="A9" s="6">
        <v>6</v>
      </c>
      <c r="B9" s="7" t="s">
        <v>47</v>
      </c>
      <c r="C9" s="8" t="s">
        <v>48</v>
      </c>
      <c r="D9" s="9" t="str">
        <f>IFERROR(_xlfn.XLOOKUP(C9,Pitchers!$A$3:$A$692,Pitchers!$B$3:$B$692,"R",0),IFERROR(_xlfn.XLOOKUP(C9,Pitchers!$A$3:$A$692,Pitchers!$B$3:$B$692,"R",2),"R"))</f>
        <v>R</v>
      </c>
      <c r="E9" s="10">
        <f>IFERROR(_xlfn.XLOOKUP(C9,Pitchers!$A$3:$A$692,Pitchers!$C$3:$C$692,2.52,0),IFERROR(_xlfn.XLOOKUP(C9,Pitchers!$A$3:$A$692,Pitchers!$C$3:$C$692,2.52,2),2.52))</f>
        <v>3.6331000000000002</v>
      </c>
      <c r="F9" s="10">
        <f>IFERROR(IF(M9="L",_xlfn.XLOOKUP(B9,TeamOffense!$D$3:$D$32,TeamOffense!$C$3:$C$32,2.52),_xlfn.XLOOKUP(B9,TeamOffense!$D$3:$D$32,TeamOffense!$B$3:$B$32,2.52)),2.52)</f>
        <v>2.1463000000000001</v>
      </c>
      <c r="G9" s="10">
        <f>IFERROR(ROUND(E9*(F9/2.52)^1.2*0.8*U9,3),"")</f>
        <v>2.36</v>
      </c>
      <c r="H9" s="11">
        <f>IFERROR(1/(1+EXP(-1.3*(G9-P9))),0.5)</f>
        <v>0.78164867043658948</v>
      </c>
      <c r="I9" s="1">
        <f t="shared" si="0"/>
        <v>-358</v>
      </c>
      <c r="J9" s="12" t="s">
        <v>11</v>
      </c>
      <c r="K9" s="7" t="s">
        <v>49</v>
      </c>
      <c r="L9" s="8" t="s">
        <v>50</v>
      </c>
      <c r="M9" s="9" t="str">
        <f>IFERROR(_xlfn.XLOOKUP(L9,Pitchers!$A$3:$A$692,Pitchers!$B$3:$B$692,"R",0),IFERROR(_xlfn.XLOOKUP(L9,Pitchers!$A$3:$A$692,Pitchers!$B$3:$B$692,"R",2),"R"))</f>
        <v>R</v>
      </c>
      <c r="N9" s="10">
        <f>IFERROR(_xlfn.XLOOKUP(L9,Pitchers!$A$3:$A$692,Pitchers!$C$3:$C$692,2.52,0),IFERROR(_xlfn.XLOOKUP(L9,Pitchers!$A$3:$A$692,Pitchers!$C$3:$C$692,2.52,2),2.52))</f>
        <v>1.7921</v>
      </c>
      <c r="O9" s="10">
        <f>IFERROR(IF(D9="L",_xlfn.XLOOKUP(K9,TeamOffense!$D$3:$D$32,TeamOffense!$C$3:$C$32,2.52),_xlfn.XLOOKUP(K9,TeamOffense!$D$3:$D$32,TeamOffense!$B$3:$B$32,2.52)),2.52)</f>
        <v>2.472</v>
      </c>
      <c r="P9" s="10">
        <f>IFERROR(ROUND(N9*(O9/2.52)^1.2*0.8*U9,3),"")</f>
        <v>1.379</v>
      </c>
      <c r="Q9" s="13">
        <f t="shared" si="2"/>
        <v>0.21835132956341052</v>
      </c>
      <c r="R9" s="5">
        <f t="shared" si="1"/>
        <v>358</v>
      </c>
      <c r="S9" s="8" t="s">
        <v>51</v>
      </c>
      <c r="T9" s="10">
        <f>IFERROR(_xlfn.XLOOKUP(S9,Umpires!$A$4:$A$95,Umpires!$B$4:$B$95,0),0)</f>
        <v>0.245</v>
      </c>
      <c r="U9" s="10">
        <f>IFERROR(_xlfn.XLOOKUP(K9,ParkFactors!$C$3:$C$32,ParkFactors!$B$3:$B$32,1),1)</f>
        <v>0.98440000000000005</v>
      </c>
    </row>
    <row r="10" spans="1:21" ht="17.100000000000001" customHeight="1" x14ac:dyDescent="0.25">
      <c r="A10" s="6">
        <v>7</v>
      </c>
      <c r="B10" s="7" t="s">
        <v>52</v>
      </c>
      <c r="C10" s="8" t="s">
        <v>53</v>
      </c>
      <c r="D10" s="9" t="str">
        <f>IFERROR(_xlfn.XLOOKUP(C10,Pitchers!$A$3:$A$692,Pitchers!$B$3:$B$692,"R",0),IFERROR(_xlfn.XLOOKUP(C10,Pitchers!$A$3:$A$692,Pitchers!$B$3:$B$692,"R",2),"R"))</f>
        <v>L</v>
      </c>
      <c r="E10" s="10">
        <f>IFERROR(_xlfn.XLOOKUP(C10,Pitchers!$A$3:$A$692,Pitchers!$C$3:$C$692,2.52,0),IFERROR(_xlfn.XLOOKUP(C10,Pitchers!$A$3:$A$692,Pitchers!$C$3:$C$692,2.52,2),2.52))</f>
        <v>3.496</v>
      </c>
      <c r="F10" s="10">
        <f>IFERROR(IF(M10="L",_xlfn.XLOOKUP(B10,TeamOffense!$D$3:$D$32,TeamOffense!$C$3:$C$32,2.52),_xlfn.XLOOKUP(B10,TeamOffense!$D$3:$D$32,TeamOffense!$B$3:$B$32,2.52)),2.52)</f>
        <v>2.1417000000000002</v>
      </c>
      <c r="G10" s="10">
        <f>IFERROR(ROUND(E10*(F10/2.52)^1.2*0.8*U10,3),"")</f>
        <v>2.274</v>
      </c>
      <c r="H10" s="11">
        <f>IFERROR(1/(1+EXP(-1.3*(G10-P10))),0.5)</f>
        <v>0.53180699066390591</v>
      </c>
      <c r="I10" s="1">
        <f t="shared" si="0"/>
        <v>-114</v>
      </c>
      <c r="J10" s="12" t="s">
        <v>11</v>
      </c>
      <c r="K10" s="7" t="s">
        <v>54</v>
      </c>
      <c r="L10" s="8" t="s">
        <v>55</v>
      </c>
      <c r="M10" s="9" t="str">
        <f>IFERROR(_xlfn.XLOOKUP(L10,Pitchers!$A$3:$A$692,Pitchers!$B$3:$B$692,"R",0),IFERROR(_xlfn.XLOOKUP(L10,Pitchers!$A$3:$A$692,Pitchers!$B$3:$B$692,"R",2),"R"))</f>
        <v>R</v>
      </c>
      <c r="N10" s="10">
        <f>IFERROR(_xlfn.XLOOKUP(L10,Pitchers!$A$3:$A$692,Pitchers!$C$3:$C$692,2.52,0),IFERROR(_xlfn.XLOOKUP(L10,Pitchers!$A$3:$A$692,Pitchers!$C$3:$C$692,2.52,2),2.52))</f>
        <v>2.8403</v>
      </c>
      <c r="O10" s="10">
        <f>IFERROR(IF(D10="L",_xlfn.XLOOKUP(K10,TeamOffense!$D$3:$D$32,TeamOffense!$C$3:$C$32,2.52),_xlfn.XLOOKUP(K10,TeamOffense!$D$3:$D$32,TeamOffense!$B$3:$B$32,2.52)),2.52)</f>
        <v>2.4544999999999999</v>
      </c>
      <c r="P10" s="10">
        <f>IFERROR(ROUND(N10*(O10/2.52)^1.2*0.8*U10,3),"")</f>
        <v>2.1760000000000002</v>
      </c>
      <c r="Q10" s="13">
        <f t="shared" si="2"/>
        <v>0.46819300933609409</v>
      </c>
      <c r="R10" s="5">
        <f t="shared" si="1"/>
        <v>114</v>
      </c>
      <c r="S10" s="8" t="s">
        <v>56</v>
      </c>
      <c r="T10" s="10">
        <f>IFERROR(_xlfn.XLOOKUP(S10,Umpires!$A$4:$A$95,Umpires!$B$4:$B$95,0),0)</f>
        <v>0.21</v>
      </c>
      <c r="U10" s="10">
        <f>IFERROR(_xlfn.XLOOKUP(K10,ParkFactors!$C$3:$C$32,ParkFactors!$B$3:$B$32,1),1)</f>
        <v>0.98850000000000005</v>
      </c>
    </row>
    <row r="11" spans="1:21" ht="17.100000000000001" customHeight="1" x14ac:dyDescent="0.25">
      <c r="A11" s="6">
        <v>8</v>
      </c>
      <c r="B11" s="7" t="s">
        <v>57</v>
      </c>
      <c r="C11" s="8" t="s">
        <v>58</v>
      </c>
      <c r="D11" s="9" t="str">
        <f>IFERROR(_xlfn.XLOOKUP(C11,Pitchers!$A$3:$A$692,Pitchers!$B$3:$B$692,"R",0),IFERROR(_xlfn.XLOOKUP(C11,Pitchers!$A$3:$A$692,Pitchers!$B$3:$B$692,"R",2),"R"))</f>
        <v>R</v>
      </c>
      <c r="E11" s="10">
        <f>IFERROR(_xlfn.XLOOKUP(C11,Pitchers!$A$3:$A$692,Pitchers!$C$3:$C$692,2.52,0),IFERROR(_xlfn.XLOOKUP(C11,Pitchers!$A$3:$A$692,Pitchers!$C$3:$C$692,2.52,2),2.52))</f>
        <v>2.8613</v>
      </c>
      <c r="F11" s="10">
        <f>IFERROR(IF(M11="L",_xlfn.XLOOKUP(B11,TeamOffense!$D$3:$D$32,TeamOffense!$C$3:$C$32,2.52),_xlfn.XLOOKUP(B11,TeamOffense!$D$3:$D$32,TeamOffense!$B$3:$B$32,2.52)),2.52)</f>
        <v>2.3784000000000001</v>
      </c>
      <c r="G11" s="10">
        <f>IFERROR(ROUND(E11*(F11/2.52)^1.2*0.8*U11,3),"")</f>
        <v>2.0760000000000001</v>
      </c>
      <c r="H11" s="11">
        <f>IFERROR(1/(1+EXP(-1.3*(G11-P11))),0.5)</f>
        <v>0.60159131239777064</v>
      </c>
      <c r="I11" s="1">
        <f t="shared" si="0"/>
        <v>-151</v>
      </c>
      <c r="J11" s="12" t="s">
        <v>11</v>
      </c>
      <c r="K11" s="7" t="s">
        <v>59</v>
      </c>
      <c r="L11" s="8" t="s">
        <v>60</v>
      </c>
      <c r="M11" s="9" t="str">
        <f>IFERROR(_xlfn.XLOOKUP(L11,Pitchers!$A$3:$A$692,Pitchers!$B$3:$B$692,"R",0),IFERROR(_xlfn.XLOOKUP(L11,Pitchers!$A$3:$A$692,Pitchers!$B$3:$B$692,"R",2),"R"))</f>
        <v>R</v>
      </c>
      <c r="N11" s="10">
        <f>IFERROR(_xlfn.XLOOKUP(L11,Pitchers!$A$3:$A$692,Pitchers!$C$3:$C$692,2.52,0),IFERROR(_xlfn.XLOOKUP(L11,Pitchers!$A$3:$A$692,Pitchers!$C$3:$C$692,2.52,2),2.52))</f>
        <v>2.52</v>
      </c>
      <c r="O11" s="10">
        <f>IFERROR(IF(D11="L",_xlfn.XLOOKUP(K11,TeamOffense!$D$3:$D$32,TeamOffense!$C$3:$C$32,2.52),_xlfn.XLOOKUP(K11,TeamOffense!$D$3:$D$32,TeamOffense!$B$3:$B$32,2.52)),2.52)</f>
        <v>2.3028</v>
      </c>
      <c r="P11" s="10">
        <f>IFERROR(ROUND(N11*(O11/2.52)^1.2*0.8*U11,3),"")</f>
        <v>1.7589999999999999</v>
      </c>
      <c r="Q11" s="13">
        <f t="shared" si="2"/>
        <v>0.39840868760222936</v>
      </c>
      <c r="R11" s="5">
        <f t="shared" si="1"/>
        <v>151</v>
      </c>
      <c r="S11" s="8" t="s">
        <v>61</v>
      </c>
      <c r="T11" s="10">
        <f>IFERROR(_xlfn.XLOOKUP(S11,Umpires!$A$4:$A$95,Umpires!$B$4:$B$95,0),0)</f>
        <v>0.28499999999999998</v>
      </c>
      <c r="U11" s="10">
        <f>IFERROR(_xlfn.XLOOKUP(K11,ParkFactors!$C$3:$C$32,ParkFactors!$B$3:$B$32,1),1)</f>
        <v>0.97209999999999996</v>
      </c>
    </row>
    <row r="12" spans="1:21" ht="17.100000000000001" customHeight="1" x14ac:dyDescent="0.25">
      <c r="A12" s="6">
        <v>9</v>
      </c>
      <c r="B12" s="7" t="s">
        <v>62</v>
      </c>
      <c r="C12" s="8" t="s">
        <v>63</v>
      </c>
      <c r="D12" s="9" t="str">
        <f>IFERROR(_xlfn.XLOOKUP(C12,Pitchers!$A$3:$A$692,Pitchers!$B$3:$B$692,"R",0),IFERROR(_xlfn.XLOOKUP(C12,Pitchers!$A$3:$A$692,Pitchers!$B$3:$B$692,"R",2),"R"))</f>
        <v>R</v>
      </c>
      <c r="E12" s="10">
        <f>IFERROR(_xlfn.XLOOKUP(C12,Pitchers!$A$3:$A$692,Pitchers!$C$3:$C$692,2.52,0),IFERROR(_xlfn.XLOOKUP(C12,Pitchers!$A$3:$A$692,Pitchers!$C$3:$C$692,2.52,2),2.52))</f>
        <v>2.52</v>
      </c>
      <c r="F12" s="10">
        <f>IFERROR(IF(M12="L",_xlfn.XLOOKUP(B12,TeamOffense!$D$3:$D$32,TeamOffense!$C$3:$C$32,2.52),_xlfn.XLOOKUP(B12,TeamOffense!$D$3:$D$32,TeamOffense!$B$3:$B$32,2.52)),2.52)</f>
        <v>2.1983000000000001</v>
      </c>
      <c r="G12" s="10">
        <f>IFERROR(ROUND(E12*(F12/2.52)^1.2*0.8*U12,3),"")</f>
        <v>1.6930000000000001</v>
      </c>
      <c r="H12" s="11">
        <f>IFERROR(1/(1+EXP(-1.3*(G12-P12))),0.5)</f>
        <v>0.28993494960523436</v>
      </c>
      <c r="I12" s="1">
        <f t="shared" si="0"/>
        <v>245</v>
      </c>
      <c r="J12" s="12" t="s">
        <v>11</v>
      </c>
      <c r="K12" s="7" t="s">
        <v>64</v>
      </c>
      <c r="L12" s="8" t="s">
        <v>65</v>
      </c>
      <c r="M12" s="9" t="str">
        <f>IFERROR(_xlfn.XLOOKUP(L12,Pitchers!$A$3:$A$692,Pitchers!$B$3:$B$692,"R",0),IFERROR(_xlfn.XLOOKUP(L12,Pitchers!$A$3:$A$692,Pitchers!$B$3:$B$692,"R",2),"R"))</f>
        <v>R</v>
      </c>
      <c r="N12" s="10">
        <f>IFERROR(_xlfn.XLOOKUP(L12,Pitchers!$A$3:$A$692,Pitchers!$C$3:$C$692,2.52,0),IFERROR(_xlfn.XLOOKUP(L12,Pitchers!$A$3:$A$692,Pitchers!$C$3:$C$692,2.52,2),2.52))</f>
        <v>2.52</v>
      </c>
      <c r="O12" s="10">
        <f>IFERROR(IF(D12="L",_xlfn.XLOOKUP(K12,TeamOffense!$D$3:$D$32,TeamOffense!$C$3:$C$32,2.52),_xlfn.XLOOKUP(K12,TeamOffense!$D$3:$D$32,TeamOffense!$B$3:$B$32,2.52)),2.52)</f>
        <v>2.9217</v>
      </c>
      <c r="P12" s="10">
        <f>IFERROR(ROUND(N12*(O12/2.52)^1.2*0.8*U12,3),"")</f>
        <v>2.3820000000000001</v>
      </c>
      <c r="Q12" s="13">
        <f t="shared" si="2"/>
        <v>0.71006505039476564</v>
      </c>
      <c r="R12" s="5">
        <f t="shared" si="1"/>
        <v>-245</v>
      </c>
      <c r="S12" s="8" t="s">
        <v>66</v>
      </c>
      <c r="T12" s="10">
        <f>IFERROR(_xlfn.XLOOKUP(S12,Umpires!$A$4:$A$95,Umpires!$B$4:$B$95,0),0)</f>
        <v>0.23499999999999999</v>
      </c>
      <c r="U12" s="10">
        <f>IFERROR(_xlfn.XLOOKUP(K12,ParkFactors!$C$3:$C$32,ParkFactors!$B$3:$B$32,1),1)</f>
        <v>0.98929999999999996</v>
      </c>
    </row>
    <row r="13" spans="1:21" ht="17.100000000000001" customHeight="1" x14ac:dyDescent="0.25">
      <c r="A13" s="6">
        <v>10</v>
      </c>
      <c r="B13" s="7" t="s">
        <v>67</v>
      </c>
      <c r="C13" s="8" t="s">
        <v>68</v>
      </c>
      <c r="D13" s="9" t="str">
        <f>IFERROR(_xlfn.XLOOKUP(C13,Pitchers!$A$3:$A$692,Pitchers!$B$3:$B$692,"R",0),IFERROR(_xlfn.XLOOKUP(C13,Pitchers!$A$3:$A$692,Pitchers!$B$3:$B$692,"R",2),"R"))</f>
        <v>L</v>
      </c>
      <c r="E13" s="10">
        <f>IFERROR(_xlfn.XLOOKUP(C13,Pitchers!$A$3:$A$692,Pitchers!$C$3:$C$692,2.52,0),IFERROR(_xlfn.XLOOKUP(C13,Pitchers!$A$3:$A$692,Pitchers!$C$3:$C$692,2.52,2),2.52))</f>
        <v>4.6059000000000001</v>
      </c>
      <c r="F13" s="10">
        <f>IFERROR(IF(M13="L",_xlfn.XLOOKUP(B13,TeamOffense!$D$3:$D$32,TeamOffense!$C$3:$C$32,2.52),_xlfn.XLOOKUP(B13,TeamOffense!$D$3:$D$32,TeamOffense!$B$3:$B$32,2.52)),2.52)</f>
        <v>2.7302</v>
      </c>
      <c r="G13" s="10">
        <f>IFERROR(ROUND(E13*(F13/2.52)^1.2*0.8*U13,3),"")</f>
        <v>4.1749999999999998</v>
      </c>
      <c r="H13" s="11">
        <f>IFERROR(1/(1+EXP(-1.3*(G13-P13))),0.5)</f>
        <v>0.97267904031363117</v>
      </c>
      <c r="I13" s="1">
        <f t="shared" si="0"/>
        <v>-3560</v>
      </c>
      <c r="J13" s="12" t="s">
        <v>11</v>
      </c>
      <c r="K13" s="7" t="s">
        <v>69</v>
      </c>
      <c r="L13" s="8" t="s">
        <v>70</v>
      </c>
      <c r="M13" s="9" t="str">
        <f>IFERROR(_xlfn.XLOOKUP(L13,Pitchers!$A$3:$A$692,Pitchers!$B$3:$B$692,"R",0),IFERROR(_xlfn.XLOOKUP(L13,Pitchers!$A$3:$A$692,Pitchers!$B$3:$B$692,"R",2),"R"))</f>
        <v>R</v>
      </c>
      <c r="N13" s="10">
        <f>IFERROR(_xlfn.XLOOKUP(L13,Pitchers!$A$3:$A$692,Pitchers!$C$3:$C$692,2.52,0),IFERROR(_xlfn.XLOOKUP(L13,Pitchers!$A$3:$A$692,Pitchers!$C$3:$C$692,2.52,2),2.52))</f>
        <v>2.2301000000000002</v>
      </c>
      <c r="O13" s="10">
        <f>IFERROR(IF(D13="L",_xlfn.XLOOKUP(K13,TeamOffense!$D$3:$D$32,TeamOffense!$C$3:$C$32,2.52),_xlfn.XLOOKUP(K13,TeamOffense!$D$3:$D$32,TeamOffense!$B$3:$B$32,2.52)),2.52)</f>
        <v>2.0426000000000002</v>
      </c>
      <c r="P13" s="10">
        <f>IFERROR(ROUND(N13*(O13/2.52)^1.2*0.8*U13,3),"")</f>
        <v>1.427</v>
      </c>
      <c r="Q13" s="13">
        <f t="shared" si="2"/>
        <v>2.7320959686368829E-2</v>
      </c>
      <c r="R13" s="5">
        <f t="shared" si="1"/>
        <v>3560</v>
      </c>
      <c r="S13" s="8" t="s">
        <v>71</v>
      </c>
      <c r="T13" s="10">
        <f>IFERROR(_xlfn.XLOOKUP(S13,Umpires!$A$4:$A$95,Umpires!$B$4:$B$95,0),0)</f>
        <v>0.215</v>
      </c>
      <c r="U13" s="10">
        <f>IFERROR(_xlfn.XLOOKUP(K13,ParkFactors!$C$3:$C$32,ParkFactors!$B$3:$B$32,1),1)</f>
        <v>1.0293000000000001</v>
      </c>
    </row>
    <row r="14" spans="1:21" ht="17.100000000000001" customHeight="1" x14ac:dyDescent="0.25">
      <c r="A14" s="6">
        <v>11</v>
      </c>
      <c r="B14" s="7" t="s">
        <v>72</v>
      </c>
      <c r="C14" s="8" t="s">
        <v>73</v>
      </c>
      <c r="D14" s="9" t="str">
        <f>IFERROR(_xlfn.XLOOKUP(C14,Pitchers!$A$3:$A$692,Pitchers!$B$3:$B$692,"R",0),IFERROR(_xlfn.XLOOKUP(C14,Pitchers!$A$3:$A$692,Pitchers!$B$3:$B$692,"R",2),"R"))</f>
        <v>R</v>
      </c>
      <c r="E14" s="10">
        <f>IFERROR(_xlfn.XLOOKUP(C14,Pitchers!$A$3:$A$692,Pitchers!$C$3:$C$692,2.52,0),IFERROR(_xlfn.XLOOKUP(C14,Pitchers!$A$3:$A$692,Pitchers!$C$3:$C$692,2.52,2),2.52))</f>
        <v>2.4281000000000001</v>
      </c>
      <c r="F14" s="10">
        <f>IFERROR(IF(M14="L",_xlfn.XLOOKUP(B14,TeamOffense!$D$3:$D$32,TeamOffense!$C$3:$C$32,2.52),_xlfn.XLOOKUP(B14,TeamOffense!$D$3:$D$32,TeamOffense!$B$3:$B$32,2.52)),2.52)</f>
        <v>2.0943000000000001</v>
      </c>
      <c r="G14" s="10">
        <f>IFERROR(ROUND(E14*(F14/2.52)^1.2*0.8*U14,3),"")</f>
        <v>1.5449999999999999</v>
      </c>
      <c r="H14" s="11">
        <f>IFERROR(1/(1+EXP(-1.3*(G14-P14))),0.5)</f>
        <v>0.24158671334416873</v>
      </c>
      <c r="I14" s="1">
        <f t="shared" si="0"/>
        <v>314</v>
      </c>
      <c r="J14" s="12" t="s">
        <v>11</v>
      </c>
      <c r="K14" s="7" t="s">
        <v>74</v>
      </c>
      <c r="L14" s="8" t="s">
        <v>75</v>
      </c>
      <c r="M14" s="9" t="str">
        <f>IFERROR(_xlfn.XLOOKUP(L14,Pitchers!$A$3:$A$692,Pitchers!$B$3:$B$692,"R",0),IFERROR(_xlfn.XLOOKUP(L14,Pitchers!$A$3:$A$692,Pitchers!$B$3:$B$692,"R",2),"R"))</f>
        <v>L</v>
      </c>
      <c r="N14" s="10">
        <f>IFERROR(_xlfn.XLOOKUP(L14,Pitchers!$A$3:$A$692,Pitchers!$C$3:$C$692,2.52,0),IFERROR(_xlfn.XLOOKUP(L14,Pitchers!$A$3:$A$692,Pitchers!$C$3:$C$692,2.52,2),2.52))</f>
        <v>2.5638999999999998</v>
      </c>
      <c r="O14" s="10">
        <f>IFERROR(IF(D14="L",_xlfn.XLOOKUP(K14,TeamOffense!$D$3:$D$32,TeamOffense!$C$3:$C$32,2.52),_xlfn.XLOOKUP(K14,TeamOffense!$D$3:$D$32,TeamOffense!$B$3:$B$32,2.52)),2.52)</f>
        <v>2.9134000000000002</v>
      </c>
      <c r="P14" s="10">
        <f>IFERROR(ROUND(N14*(O14/2.52)^1.2*0.8*U14,3),"")</f>
        <v>2.4249999999999998</v>
      </c>
      <c r="Q14" s="13">
        <f t="shared" si="2"/>
        <v>0.7584132866558313</v>
      </c>
      <c r="R14" s="5">
        <f t="shared" si="1"/>
        <v>-314</v>
      </c>
      <c r="S14" s="8" t="s">
        <v>76</v>
      </c>
      <c r="T14" s="10">
        <f>IFERROR(_xlfn.XLOOKUP(S14,Umpires!$A$4:$A$95,Umpires!$B$4:$B$95,0),0)</f>
        <v>0.22</v>
      </c>
      <c r="U14" s="10">
        <f>IFERROR(_xlfn.XLOOKUP(K14,ParkFactors!$C$3:$C$32,ParkFactors!$B$3:$B$32,1),1)</f>
        <v>0.99339999999999995</v>
      </c>
    </row>
    <row r="15" spans="1:21" ht="17.100000000000001" customHeight="1" x14ac:dyDescent="0.25">
      <c r="A15" s="6">
        <v>12</v>
      </c>
      <c r="B15" s="7" t="s">
        <v>77</v>
      </c>
      <c r="C15" s="8" t="s">
        <v>78</v>
      </c>
      <c r="D15" s="9" t="str">
        <f>IFERROR(_xlfn.XLOOKUP(C15,Pitchers!$A$3:$A$692,Pitchers!$B$3:$B$692,"R",0),IFERROR(_xlfn.XLOOKUP(C15,Pitchers!$A$3:$A$692,Pitchers!$B$3:$B$692,"R",2),"R"))</f>
        <v>R</v>
      </c>
      <c r="E15" s="10">
        <f>IFERROR(_xlfn.XLOOKUP(C15,Pitchers!$A$3:$A$692,Pitchers!$C$3:$C$692,2.52,0),IFERROR(_xlfn.XLOOKUP(C15,Pitchers!$A$3:$A$692,Pitchers!$C$3:$C$692,2.52,2),2.52))</f>
        <v>3.8458999999999999</v>
      </c>
      <c r="F15" s="10">
        <f>IFERROR(IF(M15="L",_xlfn.XLOOKUP(B15,TeamOffense!$D$3:$D$32,TeamOffense!$C$3:$C$32,2.52),_xlfn.XLOOKUP(B15,TeamOffense!$D$3:$D$32,TeamOffense!$B$3:$B$32,2.52)),2.52)</f>
        <v>2.1579000000000002</v>
      </c>
      <c r="G15" s="10">
        <f>IFERROR(ROUND(E15*(F15/2.52)^1.2*0.8*U15,3),"")</f>
        <v>2.2160000000000002</v>
      </c>
      <c r="H15" s="11">
        <f>IFERROR(1/(1+EXP(-1.3*(G15-P15))),0.5)</f>
        <v>0.42707381971892294</v>
      </c>
      <c r="I15" s="1">
        <f t="shared" si="0"/>
        <v>134</v>
      </c>
      <c r="J15" s="12" t="s">
        <v>11</v>
      </c>
      <c r="K15" s="7" t="s">
        <v>79</v>
      </c>
      <c r="L15" s="8" t="s">
        <v>80</v>
      </c>
      <c r="M15" s="9" t="str">
        <f>IFERROR(_xlfn.XLOOKUP(L15,Pitchers!$A$3:$A$692,Pitchers!$B$3:$B$692,"R",0),IFERROR(_xlfn.XLOOKUP(L15,Pitchers!$A$3:$A$692,Pitchers!$B$3:$B$692,"R",2),"R"))</f>
        <v>R</v>
      </c>
      <c r="N15" s="10">
        <f>IFERROR(_xlfn.XLOOKUP(L15,Pitchers!$A$3:$A$692,Pitchers!$C$3:$C$692,2.52,0),IFERROR(_xlfn.XLOOKUP(L15,Pitchers!$A$3:$A$692,Pitchers!$C$3:$C$692,2.52,2),2.52))</f>
        <v>3.6088</v>
      </c>
      <c r="O15" s="10">
        <f>IFERROR(IF(D15="L",_xlfn.XLOOKUP(K15,TeamOffense!$D$3:$D$32,TeamOffense!$C$3:$C$32,2.52),_xlfn.XLOOKUP(K15,TeamOffense!$D$3:$D$32,TeamOffense!$B$3:$B$32,2.52)),2.52)</f>
        <v>2.4666999999999999</v>
      </c>
      <c r="P15" s="10">
        <f>IFERROR(ROUND(N15*(O15/2.52)^1.2*0.8*U15,3),"")</f>
        <v>2.4420000000000002</v>
      </c>
      <c r="Q15" s="13">
        <f t="shared" si="2"/>
        <v>0.572926180281077</v>
      </c>
      <c r="R15" s="5">
        <f t="shared" si="1"/>
        <v>-134</v>
      </c>
      <c r="S15" s="8"/>
      <c r="T15" s="10">
        <f>IFERROR(_xlfn.XLOOKUP(S15,Umpires!$A$4:$A$95,Umpires!$B$4:$B$95,0),0)</f>
        <v>0</v>
      </c>
      <c r="U15" s="10">
        <f>IFERROR(_xlfn.XLOOKUP(K15,ParkFactors!$C$3:$C$32,ParkFactors!$B$3:$B$32,1),1)</f>
        <v>0.86770000000000003</v>
      </c>
    </row>
    <row r="16" spans="1:21" ht="17.100000000000001" customHeight="1" x14ac:dyDescent="0.25">
      <c r="A16" s="6">
        <v>13</v>
      </c>
      <c r="B16" s="7"/>
      <c r="C16" s="8"/>
      <c r="D16" s="9" t="str">
        <f>IFERROR(_xlfn.XLOOKUP(C16,Pitchers!$A$3:$A$692,Pitchers!$B$3:$B$692,"R",0),IFERROR(_xlfn.XLOOKUP(C16,Pitchers!$A$3:$A$692,Pitchers!$B$3:$B$692,"R",2),"R"))</f>
        <v>R</v>
      </c>
      <c r="E16" s="10">
        <f>IFERROR(_xlfn.XLOOKUP(C16,Pitchers!$A$3:$A$692,Pitchers!$C$3:$C$692,2.52,0),IFERROR(_xlfn.XLOOKUP(C16,Pitchers!$A$3:$A$692,Pitchers!$C$3:$C$692,2.52,2),2.52))</f>
        <v>2.52</v>
      </c>
      <c r="F16" s="10">
        <f>IFERROR(IF(M16="L",_xlfn.XLOOKUP(B16,TeamOffense!$D$3:$D$32,TeamOffense!$C$3:$C$32,2.52),_xlfn.XLOOKUP(B16,TeamOffense!$D$3:$D$32,TeamOffense!$B$3:$B$32,2.52)),2.52)</f>
        <v>2.52</v>
      </c>
      <c r="G16" s="10">
        <f>IFERROR(ROUND(E16*(F16/2.52)^1.2*0.8*U16,3),"")</f>
        <v>2.016</v>
      </c>
      <c r="H16" s="11">
        <f>IFERROR(1/(1+EXP(-1.3*(G16-P16))),0.5)</f>
        <v>0.5</v>
      </c>
      <c r="I16" s="1">
        <f t="shared" si="0"/>
        <v>-100</v>
      </c>
      <c r="J16" s="12" t="s">
        <v>11</v>
      </c>
      <c r="K16" s="7"/>
      <c r="L16" s="8"/>
      <c r="M16" s="9" t="str">
        <f>IFERROR(_xlfn.XLOOKUP(L16,Pitchers!$A$3:$A$692,Pitchers!$B$3:$B$692,"R",0),IFERROR(_xlfn.XLOOKUP(L16,Pitchers!$A$3:$A$692,Pitchers!$B$3:$B$692,"R",2),"R"))</f>
        <v>R</v>
      </c>
      <c r="N16" s="10">
        <f>IFERROR(_xlfn.XLOOKUP(L16,Pitchers!$A$3:$A$692,Pitchers!$C$3:$C$692,2.52,0),IFERROR(_xlfn.XLOOKUP(L16,Pitchers!$A$3:$A$692,Pitchers!$C$3:$C$692,2.52,2),2.52))</f>
        <v>2.52</v>
      </c>
      <c r="O16" s="10">
        <f>IFERROR(IF(D16="L",_xlfn.XLOOKUP(K16,TeamOffense!$D$3:$D$32,TeamOffense!$C$3:$C$32,2.52),_xlfn.XLOOKUP(K16,TeamOffense!$D$3:$D$32,TeamOffense!$B$3:$B$32,2.52)),2.52)</f>
        <v>2.52</v>
      </c>
      <c r="P16" s="10">
        <f>IFERROR(ROUND(N16*(O16/2.52)^1.2*0.8*U16,3),"")</f>
        <v>2.016</v>
      </c>
      <c r="Q16" s="13">
        <f t="shared" si="2"/>
        <v>0.5</v>
      </c>
      <c r="R16" s="5">
        <f t="shared" si="1"/>
        <v>-100</v>
      </c>
      <c r="S16" s="8"/>
      <c r="T16" s="10">
        <f>IFERROR(_xlfn.XLOOKUP(S16,Umpires!$A$4:$A$95,Umpires!$B$4:$B$95,0),0)</f>
        <v>0</v>
      </c>
      <c r="U16" s="10">
        <f>IFERROR(_xlfn.XLOOKUP(K16,ParkFactors!$C$3:$C$32,ParkFactors!$B$3:$B$32,1),1)</f>
        <v>1</v>
      </c>
    </row>
    <row r="17" spans="1:21" ht="17.100000000000001" customHeight="1" x14ac:dyDescent="0.25">
      <c r="A17" s="6">
        <v>14</v>
      </c>
      <c r="B17" s="7"/>
      <c r="C17" s="8"/>
      <c r="D17" s="9" t="str">
        <f>IFERROR(_xlfn.XLOOKUP(C17,Pitchers!$A$3:$A$692,Pitchers!$B$3:$B$692,"R",0),IFERROR(_xlfn.XLOOKUP(C17,Pitchers!$A$3:$A$692,Pitchers!$B$3:$B$692,"R",2),"R"))</f>
        <v>R</v>
      </c>
      <c r="E17" s="10">
        <f>IFERROR(_xlfn.XLOOKUP(C17,Pitchers!$A$3:$A$692,Pitchers!$C$3:$C$692,2.52,0),IFERROR(_xlfn.XLOOKUP(C17,Pitchers!$A$3:$A$692,Pitchers!$C$3:$C$692,2.52,2),2.52))</f>
        <v>2.52</v>
      </c>
      <c r="F17" s="10">
        <f>IFERROR(IF(M17="L",_xlfn.XLOOKUP(B17,TeamOffense!$D$3:$D$32,TeamOffense!$C$3:$C$32,2.52),_xlfn.XLOOKUP(B17,TeamOffense!$D$3:$D$32,TeamOffense!$B$3:$B$32,2.52)),2.52)</f>
        <v>2.52</v>
      </c>
      <c r="G17" s="10">
        <f>IFERROR(ROUND(E17*(F17/2.52)^1.2*0.8*U17,3),"")</f>
        <v>2.016</v>
      </c>
      <c r="H17" s="11">
        <f>IFERROR(1/(1+EXP(-1.3*(G17-P17))),0.5)</f>
        <v>0.5</v>
      </c>
      <c r="I17" s="1">
        <f t="shared" si="0"/>
        <v>-100</v>
      </c>
      <c r="J17" s="12" t="s">
        <v>11</v>
      </c>
      <c r="K17" s="7"/>
      <c r="L17" s="8"/>
      <c r="M17" s="9" t="str">
        <f>IFERROR(_xlfn.XLOOKUP(L17,Pitchers!$A$3:$A$692,Pitchers!$B$3:$B$692,"R",0),IFERROR(_xlfn.XLOOKUP(L17,Pitchers!$A$3:$A$692,Pitchers!$B$3:$B$692,"R",2),"R"))</f>
        <v>R</v>
      </c>
      <c r="N17" s="10">
        <f>IFERROR(_xlfn.XLOOKUP(L17,Pitchers!$A$3:$A$692,Pitchers!$C$3:$C$692,2.52,0),IFERROR(_xlfn.XLOOKUP(L17,Pitchers!$A$3:$A$692,Pitchers!$C$3:$C$692,2.52,2),2.52))</f>
        <v>2.52</v>
      </c>
      <c r="O17" s="10">
        <f>IFERROR(IF(D17="L",_xlfn.XLOOKUP(K17,TeamOffense!$D$3:$D$32,TeamOffense!$C$3:$C$32,2.52),_xlfn.XLOOKUP(K17,TeamOffense!$D$3:$D$32,TeamOffense!$B$3:$B$32,2.52)),2.52)</f>
        <v>2.52</v>
      </c>
      <c r="P17" s="10">
        <f>IFERROR(ROUND(N17*(O17/2.52)^1.2*0.8*U17,3),"")</f>
        <v>2.016</v>
      </c>
      <c r="Q17" s="13">
        <f t="shared" si="2"/>
        <v>0.5</v>
      </c>
      <c r="R17" s="5">
        <f t="shared" si="1"/>
        <v>-100</v>
      </c>
      <c r="S17" s="8"/>
      <c r="T17" s="10">
        <f>IFERROR(_xlfn.XLOOKUP(S17,Umpires!$A$4:$A$95,Umpires!$B$4:$B$95,0),0)</f>
        <v>0</v>
      </c>
      <c r="U17" s="10">
        <f>IFERROR(_xlfn.XLOOKUP(K17,ParkFactors!$C$3:$C$32,ParkFactors!$B$3:$B$32,1),1)</f>
        <v>1</v>
      </c>
    </row>
    <row r="18" spans="1:21" ht="17.100000000000001" customHeight="1" x14ac:dyDescent="0.25">
      <c r="A18" s="6">
        <v>15</v>
      </c>
      <c r="B18" s="7"/>
      <c r="C18" s="8"/>
      <c r="D18" s="9" t="str">
        <f>IFERROR(_xlfn.XLOOKUP(C18,Pitchers!$A$3:$A$692,Pitchers!$B$3:$B$692,"R",0),IFERROR(_xlfn.XLOOKUP(C18,Pitchers!$A$3:$A$692,Pitchers!$B$3:$B$692,"R",2),"R"))</f>
        <v>R</v>
      </c>
      <c r="E18" s="10">
        <f>IFERROR(_xlfn.XLOOKUP(C18,Pitchers!$A$3:$A$692,Pitchers!$C$3:$C$692,2.52,0),IFERROR(_xlfn.XLOOKUP(C18,Pitchers!$A$3:$A$692,Pitchers!$C$3:$C$692,2.52,2),2.52))</f>
        <v>2.52</v>
      </c>
      <c r="F18" s="10">
        <f>IFERROR(IF(M18="L",_xlfn.XLOOKUP(B18,TeamOffense!$D$3:$D$32,TeamOffense!$C$3:$C$32,2.52),_xlfn.XLOOKUP(B18,TeamOffense!$D$3:$D$32,TeamOffense!$B$3:$B$32,2.52)),2.52)</f>
        <v>2.52</v>
      </c>
      <c r="G18" s="10">
        <f>IFERROR(ROUND(E18*(F18/2.52)^1.2*0.8*U18,3),"")</f>
        <v>2.016</v>
      </c>
      <c r="H18" s="11">
        <f>IFERROR(1/(1+EXP(-1.3*(G18-P18))),0.5)</f>
        <v>0.5</v>
      </c>
      <c r="I18" s="1">
        <f t="shared" si="0"/>
        <v>-100</v>
      </c>
      <c r="J18" s="12" t="s">
        <v>11</v>
      </c>
      <c r="K18" s="7"/>
      <c r="L18" s="8"/>
      <c r="M18" s="9" t="str">
        <f>IFERROR(_xlfn.XLOOKUP(L18,Pitchers!$A$3:$A$692,Pitchers!$B$3:$B$692,"R",0),IFERROR(_xlfn.XLOOKUP(L18,Pitchers!$A$3:$A$692,Pitchers!$B$3:$B$692,"R",2),"R"))</f>
        <v>R</v>
      </c>
      <c r="N18" s="10">
        <f>IFERROR(_xlfn.XLOOKUP(L18,Pitchers!$A$3:$A$692,Pitchers!$C$3:$C$692,2.52,0),IFERROR(_xlfn.XLOOKUP(L18,Pitchers!$A$3:$A$692,Pitchers!$C$3:$C$692,2.52,2),2.52))</f>
        <v>2.52</v>
      </c>
      <c r="O18" s="10">
        <f>IFERROR(IF(D18="L",_xlfn.XLOOKUP(K18,TeamOffense!$D$3:$D$32,TeamOffense!$C$3:$C$32,2.52),_xlfn.XLOOKUP(K18,TeamOffense!$D$3:$D$32,TeamOffense!$B$3:$B$32,2.52)),2.52)</f>
        <v>2.52</v>
      </c>
      <c r="P18" s="10">
        <f>IFERROR(ROUND(N18*(O18/2.52)^1.2*0.8*U18,3),"")</f>
        <v>2.016</v>
      </c>
      <c r="Q18" s="13">
        <f t="shared" si="2"/>
        <v>0.5</v>
      </c>
      <c r="R18" s="5">
        <f t="shared" si="1"/>
        <v>-100</v>
      </c>
      <c r="S18" s="8"/>
      <c r="T18" s="10">
        <f>IFERROR(_xlfn.XLOOKUP(S18,Umpires!$A$4:$A$95,Umpires!$B$4:$B$95,0),0)</f>
        <v>0</v>
      </c>
      <c r="U18" s="10">
        <f>IFERROR(_xlfn.XLOOKUP(K18,ParkFactors!$C$3:$C$32,ParkFactors!$B$3:$B$32,1),1)</f>
        <v>1</v>
      </c>
    </row>
    <row r="20" spans="1:21" ht="12.95" customHeight="1" x14ac:dyDescent="0.25">
      <c r="A20" s="22" t="s">
        <v>81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2" spans="1:21" x14ac:dyDescent="0.25">
      <c r="C22" s="26"/>
    </row>
    <row r="23" spans="1:21" x14ac:dyDescent="0.25">
      <c r="C23" s="27"/>
    </row>
    <row r="24" spans="1:21" x14ac:dyDescent="0.25">
      <c r="C24" s="27"/>
    </row>
    <row r="25" spans="1:21" x14ac:dyDescent="0.25">
      <c r="C25" s="27"/>
    </row>
    <row r="26" spans="1:21" x14ac:dyDescent="0.25">
      <c r="C26" s="27"/>
    </row>
    <row r="27" spans="1:21" x14ac:dyDescent="0.25">
      <c r="C27" s="27"/>
    </row>
    <row r="28" spans="1:21" x14ac:dyDescent="0.25">
      <c r="C28" s="27"/>
    </row>
    <row r="29" spans="1:21" x14ac:dyDescent="0.25">
      <c r="C29" s="27"/>
    </row>
    <row r="30" spans="1:21" x14ac:dyDescent="0.25">
      <c r="C30" s="27"/>
    </row>
    <row r="31" spans="1:21" x14ac:dyDescent="0.25">
      <c r="C31" s="27"/>
    </row>
    <row r="32" spans="1:21" x14ac:dyDescent="0.25">
      <c r="C32" s="27"/>
    </row>
    <row r="33" spans="3:3" x14ac:dyDescent="0.25">
      <c r="C33" s="26"/>
    </row>
    <row r="34" spans="3:3" x14ac:dyDescent="0.25">
      <c r="C34" s="26"/>
    </row>
    <row r="35" spans="3:3" x14ac:dyDescent="0.25">
      <c r="C35" s="26"/>
    </row>
  </sheetData>
  <mergeCells count="3">
    <mergeCell ref="A2:T2"/>
    <mergeCell ref="A1:T1"/>
    <mergeCell ref="A20:U20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7B8E19-84BA-4B63-B247-C849F9889A6F}">
          <x14:formula1>
            <xm:f>TeamOffense!$D$3:$D$32</xm:f>
          </x14:formula1>
          <xm:sqref>B4:B18 K6:K18</xm:sqref>
        </x14:dataValidation>
        <x14:dataValidation type="list" allowBlank="1" showInputMessage="1" showErrorMessage="1" xr:uid="{3CBE3DF2-AD4D-426A-A35B-7BB46C7F6FF4}">
          <x14:formula1>
            <xm:f>Pitchers!$A$3:$A$1000</xm:f>
          </x14:formula1>
          <xm:sqref>C6:C18 L6:L18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2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24" customWidth="1"/>
    <col min="2" max="2" width="8" customWidth="1"/>
    <col min="3" max="3" width="9" customWidth="1"/>
    <col min="4" max="4" width="8" customWidth="1"/>
  </cols>
  <sheetData>
    <row r="1" spans="1:4" ht="20.100000000000001" customHeight="1" x14ac:dyDescent="0.25">
      <c r="A1" s="25" t="s">
        <v>82</v>
      </c>
      <c r="B1" s="23"/>
      <c r="C1" s="23"/>
      <c r="D1" s="23"/>
    </row>
    <row r="2" spans="1:4" ht="15.95" customHeight="1" x14ac:dyDescent="0.25">
      <c r="A2" s="1" t="s">
        <v>83</v>
      </c>
      <c r="B2" s="1" t="s">
        <v>5</v>
      </c>
      <c r="C2" s="1" t="s">
        <v>84</v>
      </c>
      <c r="D2" s="1" t="s">
        <v>85</v>
      </c>
    </row>
    <row r="3" spans="1:4" ht="15" customHeight="1" x14ac:dyDescent="0.25">
      <c r="A3" s="14" t="s">
        <v>86</v>
      </c>
      <c r="B3" s="6" t="s">
        <v>87</v>
      </c>
      <c r="C3" s="10">
        <v>1.9422999999999999</v>
      </c>
      <c r="D3" s="6">
        <v>10</v>
      </c>
    </row>
    <row r="4" spans="1:4" ht="15" customHeight="1" x14ac:dyDescent="0.25">
      <c r="A4" s="14" t="s">
        <v>88</v>
      </c>
      <c r="B4" s="6" t="s">
        <v>87</v>
      </c>
      <c r="C4" s="10">
        <v>2.1122000000000001</v>
      </c>
      <c r="D4" s="6">
        <v>10</v>
      </c>
    </row>
    <row r="5" spans="1:4" ht="15" customHeight="1" x14ac:dyDescent="0.25">
      <c r="A5" s="14" t="s">
        <v>89</v>
      </c>
      <c r="B5" s="6" t="s">
        <v>90</v>
      </c>
      <c r="C5" s="10">
        <v>3.1522000000000001</v>
      </c>
      <c r="D5" s="6">
        <v>6</v>
      </c>
    </row>
    <row r="6" spans="1:4" ht="15" customHeight="1" x14ac:dyDescent="0.25">
      <c r="A6" s="14" t="s">
        <v>91</v>
      </c>
      <c r="B6" s="6" t="s">
        <v>87</v>
      </c>
      <c r="C6" s="10">
        <v>1.3456999999999999</v>
      </c>
      <c r="D6" s="6">
        <v>10</v>
      </c>
    </row>
    <row r="7" spans="1:4" ht="15" customHeight="1" x14ac:dyDescent="0.25">
      <c r="A7" s="14" t="s">
        <v>92</v>
      </c>
      <c r="B7" s="6" t="s">
        <v>87</v>
      </c>
      <c r="C7" s="10">
        <v>2.5303</v>
      </c>
      <c r="D7" s="6">
        <v>10</v>
      </c>
    </row>
    <row r="8" spans="1:4" ht="15" customHeight="1" x14ac:dyDescent="0.25">
      <c r="A8" s="14" t="s">
        <v>93</v>
      </c>
      <c r="B8" s="6" t="s">
        <v>90</v>
      </c>
      <c r="C8" s="10">
        <v>3.6194000000000002</v>
      </c>
      <c r="D8" s="6">
        <v>10</v>
      </c>
    </row>
    <row r="9" spans="1:4" ht="15" customHeight="1" x14ac:dyDescent="0.25">
      <c r="A9" s="14" t="s">
        <v>94</v>
      </c>
      <c r="B9" s="6" t="s">
        <v>87</v>
      </c>
      <c r="C9" s="10">
        <v>1.0223</v>
      </c>
      <c r="D9" s="6">
        <v>5</v>
      </c>
    </row>
    <row r="10" spans="1:4" ht="15" customHeight="1" x14ac:dyDescent="0.25">
      <c r="A10" s="14" t="s">
        <v>95</v>
      </c>
      <c r="B10" s="6" t="s">
        <v>90</v>
      </c>
      <c r="C10" s="10">
        <v>3.8393000000000002</v>
      </c>
      <c r="D10" s="6">
        <v>10</v>
      </c>
    </row>
    <row r="11" spans="1:4" ht="15" customHeight="1" x14ac:dyDescent="0.25">
      <c r="A11" s="14" t="s">
        <v>96</v>
      </c>
      <c r="B11" s="6" t="s">
        <v>90</v>
      </c>
      <c r="C11" s="10">
        <v>2.0670999999999999</v>
      </c>
      <c r="D11" s="6">
        <v>10</v>
      </c>
    </row>
    <row r="12" spans="1:4" ht="15" customHeight="1" x14ac:dyDescent="0.25">
      <c r="A12" s="14" t="s">
        <v>97</v>
      </c>
      <c r="B12" s="6" t="s">
        <v>90</v>
      </c>
      <c r="C12" s="10">
        <v>2.5285000000000002</v>
      </c>
      <c r="D12" s="6">
        <v>5</v>
      </c>
    </row>
    <row r="13" spans="1:4" ht="15" customHeight="1" x14ac:dyDescent="0.25">
      <c r="A13" s="14" t="s">
        <v>98</v>
      </c>
      <c r="B13" s="6" t="s">
        <v>90</v>
      </c>
      <c r="C13" s="10">
        <v>3.9365000000000001</v>
      </c>
      <c r="D13" s="6">
        <v>8</v>
      </c>
    </row>
    <row r="14" spans="1:4" ht="15" customHeight="1" x14ac:dyDescent="0.25">
      <c r="A14" s="14" t="s">
        <v>99</v>
      </c>
      <c r="B14" s="6" t="s">
        <v>90</v>
      </c>
      <c r="C14" s="10">
        <v>2.1880999999999999</v>
      </c>
      <c r="D14" s="6">
        <v>8</v>
      </c>
    </row>
    <row r="15" spans="1:4" ht="15" customHeight="1" x14ac:dyDescent="0.25">
      <c r="A15" s="14" t="s">
        <v>100</v>
      </c>
      <c r="B15" s="6" t="s">
        <v>90</v>
      </c>
      <c r="C15" s="10">
        <v>2.0407999999999999</v>
      </c>
      <c r="D15" s="6">
        <v>10</v>
      </c>
    </row>
    <row r="16" spans="1:4" ht="15" customHeight="1" x14ac:dyDescent="0.25">
      <c r="A16" s="14" t="s">
        <v>101</v>
      </c>
      <c r="B16" s="6" t="s">
        <v>90</v>
      </c>
      <c r="C16" s="10">
        <v>2.29</v>
      </c>
      <c r="D16" s="6">
        <v>10</v>
      </c>
    </row>
    <row r="17" spans="1:4" ht="15" customHeight="1" x14ac:dyDescent="0.25">
      <c r="A17" s="14" t="s">
        <v>102</v>
      </c>
      <c r="B17" s="6" t="s">
        <v>90</v>
      </c>
      <c r="C17" s="10">
        <v>2.4079000000000002</v>
      </c>
      <c r="D17" s="6">
        <v>10</v>
      </c>
    </row>
    <row r="18" spans="1:4" ht="15" customHeight="1" x14ac:dyDescent="0.25">
      <c r="A18" s="14" t="s">
        <v>103</v>
      </c>
      <c r="B18" s="6" t="s">
        <v>90</v>
      </c>
      <c r="C18" s="10">
        <v>4.3606999999999996</v>
      </c>
      <c r="D18" s="6">
        <v>10</v>
      </c>
    </row>
    <row r="19" spans="1:4" ht="15" customHeight="1" x14ac:dyDescent="0.25">
      <c r="A19" s="14" t="s">
        <v>104</v>
      </c>
      <c r="B19" s="6" t="s">
        <v>87</v>
      </c>
      <c r="C19" s="10">
        <v>2.1234999999999999</v>
      </c>
      <c r="D19" s="6">
        <v>10</v>
      </c>
    </row>
    <row r="20" spans="1:4" ht="15" customHeight="1" x14ac:dyDescent="0.25">
      <c r="A20" s="14" t="s">
        <v>105</v>
      </c>
      <c r="B20" s="6" t="s">
        <v>90</v>
      </c>
      <c r="C20" s="10">
        <v>1.8099000000000001</v>
      </c>
      <c r="D20" s="6">
        <v>10</v>
      </c>
    </row>
    <row r="21" spans="1:4" ht="15" customHeight="1" x14ac:dyDescent="0.25">
      <c r="A21" s="14" t="s">
        <v>106</v>
      </c>
      <c r="B21" s="6" t="s">
        <v>90</v>
      </c>
      <c r="C21" s="10">
        <v>2.8571</v>
      </c>
      <c r="D21" s="6">
        <v>10</v>
      </c>
    </row>
    <row r="22" spans="1:4" ht="15" customHeight="1" x14ac:dyDescent="0.25">
      <c r="A22" s="14" t="s">
        <v>107</v>
      </c>
      <c r="B22" s="6" t="s">
        <v>90</v>
      </c>
      <c r="C22" s="10">
        <v>2.0973999999999999</v>
      </c>
      <c r="D22" s="6">
        <v>10</v>
      </c>
    </row>
    <row r="23" spans="1:4" ht="15" customHeight="1" x14ac:dyDescent="0.25">
      <c r="A23" s="14" t="s">
        <v>108</v>
      </c>
      <c r="B23" s="6" t="s">
        <v>90</v>
      </c>
      <c r="C23" s="10">
        <v>2.9190999999999998</v>
      </c>
      <c r="D23" s="6">
        <v>10</v>
      </c>
    </row>
    <row r="24" spans="1:4" ht="15" customHeight="1" x14ac:dyDescent="0.25">
      <c r="A24" s="14" t="s">
        <v>109</v>
      </c>
      <c r="B24" s="6" t="s">
        <v>90</v>
      </c>
      <c r="C24" s="10">
        <v>1.5234000000000001</v>
      </c>
      <c r="D24" s="6">
        <v>10</v>
      </c>
    </row>
    <row r="25" spans="1:4" ht="15" customHeight="1" x14ac:dyDescent="0.25">
      <c r="A25" s="14" t="s">
        <v>110</v>
      </c>
      <c r="B25" s="6" t="s">
        <v>90</v>
      </c>
      <c r="C25" s="10">
        <v>1.8855999999999999</v>
      </c>
      <c r="D25" s="6">
        <v>10</v>
      </c>
    </row>
    <row r="26" spans="1:4" ht="15" customHeight="1" x14ac:dyDescent="0.25">
      <c r="A26" s="14" t="s">
        <v>111</v>
      </c>
      <c r="B26" s="6" t="s">
        <v>87</v>
      </c>
      <c r="C26" s="10">
        <v>3.2774000000000001</v>
      </c>
      <c r="D26" s="6">
        <v>10</v>
      </c>
    </row>
    <row r="27" spans="1:4" ht="15" customHeight="1" x14ac:dyDescent="0.25">
      <c r="A27" s="14" t="s">
        <v>112</v>
      </c>
      <c r="B27" s="6" t="s">
        <v>87</v>
      </c>
      <c r="C27" s="10">
        <v>2.1137999999999999</v>
      </c>
      <c r="D27" s="6">
        <v>10</v>
      </c>
    </row>
    <row r="28" spans="1:4" ht="15" customHeight="1" x14ac:dyDescent="0.25">
      <c r="A28" s="14" t="s">
        <v>113</v>
      </c>
      <c r="B28" s="6" t="s">
        <v>87</v>
      </c>
      <c r="C28" s="10">
        <v>4.6220999999999997</v>
      </c>
      <c r="D28" s="6">
        <v>6</v>
      </c>
    </row>
    <row r="29" spans="1:4" ht="15" customHeight="1" x14ac:dyDescent="0.25">
      <c r="A29" s="14" t="s">
        <v>114</v>
      </c>
      <c r="B29" s="6" t="s">
        <v>90</v>
      </c>
      <c r="C29" s="10">
        <v>2.3378999999999999</v>
      </c>
      <c r="D29" s="6">
        <v>10</v>
      </c>
    </row>
    <row r="30" spans="1:4" ht="15" customHeight="1" x14ac:dyDescent="0.25">
      <c r="A30" s="14" t="s">
        <v>115</v>
      </c>
      <c r="B30" s="6" t="s">
        <v>90</v>
      </c>
      <c r="C30" s="10">
        <v>4.2911999999999999</v>
      </c>
      <c r="D30" s="6">
        <v>6</v>
      </c>
    </row>
    <row r="31" spans="1:4" ht="15" customHeight="1" x14ac:dyDescent="0.25">
      <c r="A31" s="14" t="s">
        <v>116</v>
      </c>
      <c r="B31" s="6" t="s">
        <v>90</v>
      </c>
      <c r="C31" s="10">
        <v>3.2342</v>
      </c>
      <c r="D31" s="6">
        <v>10</v>
      </c>
    </row>
    <row r="32" spans="1:4" ht="15" customHeight="1" x14ac:dyDescent="0.25">
      <c r="A32" s="14" t="s">
        <v>117</v>
      </c>
      <c r="B32" s="6" t="s">
        <v>90</v>
      </c>
      <c r="C32" s="10">
        <v>2.0200999999999998</v>
      </c>
      <c r="D32" s="6">
        <v>5</v>
      </c>
    </row>
    <row r="33" spans="1:4" ht="15" customHeight="1" x14ac:dyDescent="0.25">
      <c r="A33" s="14" t="s">
        <v>118</v>
      </c>
      <c r="B33" s="6" t="s">
        <v>90</v>
      </c>
      <c r="C33" s="10">
        <v>2.5964999999999998</v>
      </c>
      <c r="D33" s="6">
        <v>10</v>
      </c>
    </row>
    <row r="34" spans="1:4" ht="15" customHeight="1" x14ac:dyDescent="0.25">
      <c r="A34" s="14" t="s">
        <v>119</v>
      </c>
      <c r="B34" s="6" t="s">
        <v>87</v>
      </c>
      <c r="C34" s="10">
        <v>1.345</v>
      </c>
      <c r="D34" s="6">
        <v>10</v>
      </c>
    </row>
    <row r="35" spans="1:4" ht="15" customHeight="1" x14ac:dyDescent="0.25">
      <c r="A35" s="14" t="s">
        <v>120</v>
      </c>
      <c r="B35" s="6" t="s">
        <v>87</v>
      </c>
      <c r="C35" s="10">
        <v>2.9279999999999999</v>
      </c>
      <c r="D35" s="6">
        <v>10</v>
      </c>
    </row>
    <row r="36" spans="1:4" ht="15" customHeight="1" x14ac:dyDescent="0.25">
      <c r="A36" s="14" t="s">
        <v>121</v>
      </c>
      <c r="B36" s="6" t="s">
        <v>87</v>
      </c>
      <c r="C36" s="10">
        <v>2.5177</v>
      </c>
      <c r="D36" s="6">
        <v>10</v>
      </c>
    </row>
    <row r="37" spans="1:4" ht="15" customHeight="1" x14ac:dyDescent="0.25">
      <c r="A37" s="14" t="s">
        <v>122</v>
      </c>
      <c r="B37" s="6" t="s">
        <v>90</v>
      </c>
      <c r="C37" s="10">
        <v>2.2776000000000001</v>
      </c>
      <c r="D37" s="6">
        <v>10</v>
      </c>
    </row>
    <row r="38" spans="1:4" ht="15" customHeight="1" x14ac:dyDescent="0.25">
      <c r="A38" s="14" t="s">
        <v>123</v>
      </c>
      <c r="B38" s="6" t="s">
        <v>87</v>
      </c>
      <c r="C38" s="10">
        <v>2.8679999999999999</v>
      </c>
      <c r="D38" s="6">
        <v>10</v>
      </c>
    </row>
    <row r="39" spans="1:4" ht="15" customHeight="1" x14ac:dyDescent="0.25">
      <c r="A39" s="14" t="s">
        <v>124</v>
      </c>
      <c r="B39" s="6" t="s">
        <v>90</v>
      </c>
      <c r="C39" s="10">
        <v>2.1215999999999999</v>
      </c>
      <c r="D39" s="6">
        <v>10</v>
      </c>
    </row>
    <row r="40" spans="1:4" ht="15" customHeight="1" x14ac:dyDescent="0.25">
      <c r="A40" s="14" t="s">
        <v>125</v>
      </c>
      <c r="B40" s="6" t="s">
        <v>87</v>
      </c>
      <c r="C40" s="10">
        <v>0.84470000000000001</v>
      </c>
      <c r="D40" s="6">
        <v>5</v>
      </c>
    </row>
    <row r="41" spans="1:4" ht="15" customHeight="1" x14ac:dyDescent="0.25">
      <c r="A41" s="14" t="s">
        <v>126</v>
      </c>
      <c r="B41" s="6" t="s">
        <v>87</v>
      </c>
      <c r="C41" s="10">
        <v>3.2879999999999998</v>
      </c>
      <c r="D41" s="6">
        <v>10</v>
      </c>
    </row>
    <row r="42" spans="1:4" ht="15" customHeight="1" x14ac:dyDescent="0.25">
      <c r="A42" s="14" t="s">
        <v>127</v>
      </c>
      <c r="B42" s="6" t="s">
        <v>87</v>
      </c>
      <c r="C42" s="10">
        <v>1.7416</v>
      </c>
      <c r="D42" s="6">
        <v>10</v>
      </c>
    </row>
    <row r="43" spans="1:4" ht="15" customHeight="1" x14ac:dyDescent="0.25">
      <c r="A43" s="14" t="s">
        <v>128</v>
      </c>
      <c r="B43" s="6" t="s">
        <v>90</v>
      </c>
      <c r="C43" s="10">
        <v>2.6211000000000002</v>
      </c>
      <c r="D43" s="6">
        <v>10</v>
      </c>
    </row>
    <row r="44" spans="1:4" ht="15" customHeight="1" x14ac:dyDescent="0.25">
      <c r="A44" s="14" t="s">
        <v>129</v>
      </c>
      <c r="B44" s="6" t="s">
        <v>90</v>
      </c>
      <c r="C44" s="10">
        <v>1.6108</v>
      </c>
      <c r="D44" s="6">
        <v>10</v>
      </c>
    </row>
    <row r="45" spans="1:4" ht="15" customHeight="1" x14ac:dyDescent="0.25">
      <c r="A45" s="14" t="s">
        <v>130</v>
      </c>
      <c r="B45" s="6" t="s">
        <v>90</v>
      </c>
      <c r="C45" s="10">
        <v>1.5702</v>
      </c>
      <c r="D45" s="6">
        <v>10</v>
      </c>
    </row>
    <row r="46" spans="1:4" ht="15" customHeight="1" x14ac:dyDescent="0.25">
      <c r="A46" s="14" t="s">
        <v>131</v>
      </c>
      <c r="B46" s="6" t="s">
        <v>87</v>
      </c>
      <c r="C46" s="10">
        <v>1.7020999999999999</v>
      </c>
      <c r="D46" s="6">
        <v>10</v>
      </c>
    </row>
    <row r="47" spans="1:4" ht="15" customHeight="1" x14ac:dyDescent="0.25">
      <c r="A47" s="14" t="s">
        <v>132</v>
      </c>
      <c r="B47" s="6" t="s">
        <v>87</v>
      </c>
      <c r="C47" s="10">
        <v>3.4451000000000001</v>
      </c>
      <c r="D47" s="6">
        <v>10</v>
      </c>
    </row>
    <row r="48" spans="1:4" ht="15" customHeight="1" x14ac:dyDescent="0.25">
      <c r="A48" s="14" t="s">
        <v>133</v>
      </c>
      <c r="B48" s="6" t="s">
        <v>90</v>
      </c>
      <c r="C48" s="10">
        <v>2.3814000000000002</v>
      </c>
      <c r="D48" s="6">
        <v>8</v>
      </c>
    </row>
    <row r="49" spans="1:4" ht="15" customHeight="1" x14ac:dyDescent="0.25">
      <c r="A49" s="14" t="s">
        <v>134</v>
      </c>
      <c r="B49" s="6" t="s">
        <v>90</v>
      </c>
      <c r="C49" s="10">
        <v>1.8515999999999999</v>
      </c>
      <c r="D49" s="6">
        <v>10</v>
      </c>
    </row>
    <row r="50" spans="1:4" ht="15" customHeight="1" x14ac:dyDescent="0.25">
      <c r="A50" s="14" t="s">
        <v>135</v>
      </c>
      <c r="B50" s="6" t="s">
        <v>87</v>
      </c>
      <c r="C50" s="10">
        <v>2.8925999999999998</v>
      </c>
      <c r="D50" s="6">
        <v>10</v>
      </c>
    </row>
    <row r="51" spans="1:4" ht="15" customHeight="1" x14ac:dyDescent="0.25">
      <c r="A51" s="14" t="s">
        <v>23</v>
      </c>
      <c r="B51" s="6" t="s">
        <v>90</v>
      </c>
      <c r="C51" s="10">
        <v>2.8271999999999999</v>
      </c>
      <c r="D51" s="6">
        <v>10</v>
      </c>
    </row>
    <row r="52" spans="1:4" ht="15" customHeight="1" x14ac:dyDescent="0.25">
      <c r="A52" s="14" t="s">
        <v>136</v>
      </c>
      <c r="B52" s="6" t="s">
        <v>90</v>
      </c>
      <c r="C52" s="10">
        <v>0.9486</v>
      </c>
      <c r="D52" s="6">
        <v>10</v>
      </c>
    </row>
    <row r="53" spans="1:4" ht="15" customHeight="1" x14ac:dyDescent="0.25">
      <c r="A53" s="14" t="s">
        <v>137</v>
      </c>
      <c r="B53" s="6" t="s">
        <v>90</v>
      </c>
      <c r="C53" s="10">
        <v>2.1301000000000001</v>
      </c>
      <c r="D53" s="6">
        <v>10</v>
      </c>
    </row>
    <row r="54" spans="1:4" ht="15" customHeight="1" x14ac:dyDescent="0.25">
      <c r="A54" s="14" t="s">
        <v>138</v>
      </c>
      <c r="B54" s="6" t="s">
        <v>90</v>
      </c>
      <c r="C54" s="10">
        <v>2.9817</v>
      </c>
      <c r="D54" s="6">
        <v>10</v>
      </c>
    </row>
    <row r="55" spans="1:4" ht="15" customHeight="1" x14ac:dyDescent="0.25">
      <c r="A55" s="14" t="s">
        <v>139</v>
      </c>
      <c r="B55" s="6" t="s">
        <v>90</v>
      </c>
      <c r="C55" s="10">
        <v>1.6033999999999999</v>
      </c>
      <c r="D55" s="6">
        <v>5</v>
      </c>
    </row>
    <row r="56" spans="1:4" ht="15" customHeight="1" x14ac:dyDescent="0.25">
      <c r="A56" s="14" t="s">
        <v>140</v>
      </c>
      <c r="B56" s="6" t="s">
        <v>90</v>
      </c>
      <c r="C56" s="10">
        <v>1.6714</v>
      </c>
      <c r="D56" s="6">
        <v>10</v>
      </c>
    </row>
    <row r="57" spans="1:4" ht="15" customHeight="1" x14ac:dyDescent="0.25">
      <c r="A57" s="14" t="s">
        <v>141</v>
      </c>
      <c r="B57" s="6" t="s">
        <v>87</v>
      </c>
      <c r="C57" s="10">
        <v>1.8289</v>
      </c>
      <c r="D57" s="6">
        <v>6</v>
      </c>
    </row>
    <row r="58" spans="1:4" ht="15" customHeight="1" x14ac:dyDescent="0.25">
      <c r="A58" s="14" t="s">
        <v>142</v>
      </c>
      <c r="B58" s="6" t="s">
        <v>87</v>
      </c>
      <c r="C58" s="10">
        <v>2.4342999999999999</v>
      </c>
      <c r="D58" s="6">
        <v>10</v>
      </c>
    </row>
    <row r="59" spans="1:4" ht="15" customHeight="1" x14ac:dyDescent="0.25">
      <c r="A59" s="14" t="s">
        <v>143</v>
      </c>
      <c r="B59" s="6" t="s">
        <v>90</v>
      </c>
      <c r="C59" s="10">
        <v>1.0557000000000001</v>
      </c>
      <c r="D59" s="6">
        <v>10</v>
      </c>
    </row>
    <row r="60" spans="1:4" ht="15" customHeight="1" x14ac:dyDescent="0.25">
      <c r="A60" s="14" t="s">
        <v>144</v>
      </c>
      <c r="B60" s="6" t="s">
        <v>90</v>
      </c>
      <c r="C60" s="10">
        <v>2.4077999999999999</v>
      </c>
      <c r="D60" s="6">
        <v>10</v>
      </c>
    </row>
    <row r="61" spans="1:4" ht="15" customHeight="1" x14ac:dyDescent="0.25">
      <c r="A61" s="14" t="s">
        <v>145</v>
      </c>
      <c r="B61" s="6" t="s">
        <v>90</v>
      </c>
      <c r="C61" s="10">
        <v>4.0503999999999998</v>
      </c>
      <c r="D61" s="6">
        <v>10</v>
      </c>
    </row>
    <row r="62" spans="1:4" ht="15" customHeight="1" x14ac:dyDescent="0.25">
      <c r="A62" s="14" t="s">
        <v>146</v>
      </c>
      <c r="B62" s="6" t="s">
        <v>87</v>
      </c>
      <c r="C62" s="10">
        <v>2.1086</v>
      </c>
      <c r="D62" s="6">
        <v>8</v>
      </c>
    </row>
    <row r="63" spans="1:4" ht="15" customHeight="1" x14ac:dyDescent="0.25">
      <c r="A63" s="14" t="s">
        <v>147</v>
      </c>
      <c r="B63" s="6" t="s">
        <v>90</v>
      </c>
      <c r="C63" s="10">
        <v>2.4432</v>
      </c>
      <c r="D63" s="6">
        <v>10</v>
      </c>
    </row>
    <row r="64" spans="1:4" ht="15" customHeight="1" x14ac:dyDescent="0.25">
      <c r="A64" s="14" t="s">
        <v>148</v>
      </c>
      <c r="B64" s="6" t="s">
        <v>90</v>
      </c>
      <c r="C64" s="10">
        <v>3.5425</v>
      </c>
      <c r="D64" s="6">
        <v>10</v>
      </c>
    </row>
    <row r="65" spans="1:4" ht="15" customHeight="1" x14ac:dyDescent="0.25">
      <c r="A65" s="14" t="s">
        <v>149</v>
      </c>
      <c r="B65" s="6" t="s">
        <v>90</v>
      </c>
      <c r="C65" s="10">
        <v>4.9607000000000001</v>
      </c>
      <c r="D65" s="6">
        <v>10</v>
      </c>
    </row>
    <row r="66" spans="1:4" ht="15" customHeight="1" x14ac:dyDescent="0.25">
      <c r="A66" s="14" t="s">
        <v>150</v>
      </c>
      <c r="B66" s="6" t="s">
        <v>90</v>
      </c>
      <c r="C66" s="10">
        <v>2.1979000000000002</v>
      </c>
      <c r="D66" s="6">
        <v>10</v>
      </c>
    </row>
    <row r="67" spans="1:4" ht="15" customHeight="1" x14ac:dyDescent="0.25">
      <c r="A67" s="14" t="s">
        <v>151</v>
      </c>
      <c r="B67" s="6" t="s">
        <v>90</v>
      </c>
      <c r="C67" s="10">
        <v>2.3776999999999999</v>
      </c>
      <c r="D67" s="6">
        <v>10</v>
      </c>
    </row>
    <row r="68" spans="1:4" ht="15" customHeight="1" x14ac:dyDescent="0.25">
      <c r="A68" s="14" t="s">
        <v>152</v>
      </c>
      <c r="B68" s="6" t="s">
        <v>87</v>
      </c>
      <c r="C68" s="10">
        <v>2.6964999999999999</v>
      </c>
      <c r="D68" s="6">
        <v>10</v>
      </c>
    </row>
    <row r="69" spans="1:4" ht="15" customHeight="1" x14ac:dyDescent="0.25">
      <c r="A69" s="14" t="s">
        <v>153</v>
      </c>
      <c r="B69" s="6" t="s">
        <v>90</v>
      </c>
      <c r="C69" s="10">
        <v>4.0807000000000002</v>
      </c>
      <c r="D69" s="6">
        <v>10</v>
      </c>
    </row>
    <row r="70" spans="1:4" ht="15" customHeight="1" x14ac:dyDescent="0.25">
      <c r="A70" s="14" t="s">
        <v>154</v>
      </c>
      <c r="B70" s="6" t="s">
        <v>87</v>
      </c>
      <c r="C70" s="10">
        <v>1.9894000000000001</v>
      </c>
      <c r="D70" s="6">
        <v>10</v>
      </c>
    </row>
    <row r="71" spans="1:4" ht="15" customHeight="1" x14ac:dyDescent="0.25">
      <c r="A71" s="14" t="s">
        <v>155</v>
      </c>
      <c r="B71" s="6" t="s">
        <v>90</v>
      </c>
      <c r="C71" s="10">
        <v>2.9592999999999998</v>
      </c>
      <c r="D71" s="6">
        <v>10</v>
      </c>
    </row>
    <row r="72" spans="1:4" ht="15" customHeight="1" x14ac:dyDescent="0.25">
      <c r="A72" s="14" t="s">
        <v>156</v>
      </c>
      <c r="B72" s="6" t="s">
        <v>90</v>
      </c>
      <c r="C72" s="10">
        <v>4.6776</v>
      </c>
      <c r="D72" s="6">
        <v>8</v>
      </c>
    </row>
    <row r="73" spans="1:4" ht="15" customHeight="1" x14ac:dyDescent="0.25">
      <c r="A73" s="14" t="s">
        <v>157</v>
      </c>
      <c r="B73" s="6" t="s">
        <v>87</v>
      </c>
      <c r="C73" s="10">
        <v>2.7244000000000002</v>
      </c>
      <c r="D73" s="6">
        <v>10</v>
      </c>
    </row>
    <row r="74" spans="1:4" ht="15" customHeight="1" x14ac:dyDescent="0.25">
      <c r="A74" s="14" t="s">
        <v>158</v>
      </c>
      <c r="B74" s="6" t="s">
        <v>90</v>
      </c>
      <c r="C74" s="10">
        <v>2.1840999999999999</v>
      </c>
      <c r="D74" s="6">
        <v>8</v>
      </c>
    </row>
    <row r="75" spans="1:4" ht="15" customHeight="1" x14ac:dyDescent="0.25">
      <c r="A75" s="14" t="s">
        <v>159</v>
      </c>
      <c r="B75" s="6" t="s">
        <v>87</v>
      </c>
      <c r="C75" s="10">
        <v>2.0411000000000001</v>
      </c>
      <c r="D75" s="6">
        <v>10</v>
      </c>
    </row>
    <row r="76" spans="1:4" ht="15" customHeight="1" x14ac:dyDescent="0.25">
      <c r="A76" s="14" t="s">
        <v>160</v>
      </c>
      <c r="B76" s="6" t="s">
        <v>90</v>
      </c>
      <c r="C76" s="10">
        <v>2.9281999999999999</v>
      </c>
      <c r="D76" s="6">
        <v>10</v>
      </c>
    </row>
    <row r="77" spans="1:4" ht="15" customHeight="1" x14ac:dyDescent="0.25">
      <c r="A77" s="14" t="s">
        <v>161</v>
      </c>
      <c r="B77" s="6" t="s">
        <v>90</v>
      </c>
      <c r="C77" s="10">
        <v>1.6807000000000001</v>
      </c>
      <c r="D77" s="6">
        <v>7</v>
      </c>
    </row>
    <row r="78" spans="1:4" ht="15" customHeight="1" x14ac:dyDescent="0.25">
      <c r="A78" s="14" t="s">
        <v>162</v>
      </c>
      <c r="B78" s="6" t="s">
        <v>90</v>
      </c>
      <c r="C78" s="10">
        <v>3.0825</v>
      </c>
      <c r="D78" s="6">
        <v>8</v>
      </c>
    </row>
    <row r="79" spans="1:4" ht="15" customHeight="1" x14ac:dyDescent="0.25">
      <c r="A79" s="14" t="s">
        <v>163</v>
      </c>
      <c r="B79" s="6" t="s">
        <v>90</v>
      </c>
      <c r="C79" s="10">
        <v>2.8195999999999999</v>
      </c>
      <c r="D79" s="6">
        <v>5</v>
      </c>
    </row>
    <row r="80" spans="1:4" ht="15" customHeight="1" x14ac:dyDescent="0.25">
      <c r="A80" s="14" t="s">
        <v>164</v>
      </c>
      <c r="B80" s="6" t="s">
        <v>87</v>
      </c>
      <c r="C80" s="10">
        <v>1.4482999999999999</v>
      </c>
      <c r="D80" s="6">
        <v>9</v>
      </c>
    </row>
    <row r="81" spans="1:4" ht="15" customHeight="1" x14ac:dyDescent="0.25">
      <c r="A81" s="14" t="s">
        <v>165</v>
      </c>
      <c r="B81" s="6" t="s">
        <v>87</v>
      </c>
      <c r="C81" s="10">
        <v>3.5470999999999999</v>
      </c>
      <c r="D81" s="6">
        <v>10</v>
      </c>
    </row>
    <row r="82" spans="1:4" ht="15" customHeight="1" x14ac:dyDescent="0.25">
      <c r="A82" s="14" t="s">
        <v>166</v>
      </c>
      <c r="B82" s="6" t="s">
        <v>90</v>
      </c>
      <c r="C82" s="10">
        <v>3.5186999999999999</v>
      </c>
      <c r="D82" s="6">
        <v>8</v>
      </c>
    </row>
    <row r="83" spans="1:4" ht="15" customHeight="1" x14ac:dyDescent="0.25">
      <c r="A83" s="14" t="s">
        <v>167</v>
      </c>
      <c r="B83" s="6" t="s">
        <v>87</v>
      </c>
      <c r="C83" s="10">
        <v>2.0840999999999998</v>
      </c>
      <c r="D83" s="6">
        <v>10</v>
      </c>
    </row>
    <row r="84" spans="1:4" ht="15" customHeight="1" x14ac:dyDescent="0.25">
      <c r="A84" s="14" t="s">
        <v>168</v>
      </c>
      <c r="B84" s="6" t="s">
        <v>87</v>
      </c>
      <c r="C84" s="10">
        <v>3.1042000000000001</v>
      </c>
      <c r="D84" s="6">
        <v>10</v>
      </c>
    </row>
    <row r="85" spans="1:4" ht="15" customHeight="1" x14ac:dyDescent="0.25">
      <c r="A85" s="14" t="s">
        <v>169</v>
      </c>
      <c r="B85" s="6" t="s">
        <v>90</v>
      </c>
      <c r="C85" s="10">
        <v>2.2858000000000001</v>
      </c>
      <c r="D85" s="6">
        <v>6</v>
      </c>
    </row>
    <row r="86" spans="1:4" ht="15" customHeight="1" x14ac:dyDescent="0.25">
      <c r="A86" s="14" t="s">
        <v>170</v>
      </c>
      <c r="B86" s="6" t="s">
        <v>87</v>
      </c>
      <c r="C86" s="10">
        <v>2.8386999999999998</v>
      </c>
      <c r="D86" s="6">
        <v>8</v>
      </c>
    </row>
    <row r="87" spans="1:4" ht="15" customHeight="1" x14ac:dyDescent="0.25">
      <c r="A87" s="14" t="s">
        <v>171</v>
      </c>
      <c r="B87" s="6" t="s">
        <v>90</v>
      </c>
      <c r="C87" s="10">
        <v>2.3355000000000001</v>
      </c>
      <c r="D87" s="6">
        <v>6</v>
      </c>
    </row>
    <row r="88" spans="1:4" ht="15" customHeight="1" x14ac:dyDescent="0.25">
      <c r="A88" s="14" t="s">
        <v>172</v>
      </c>
      <c r="B88" s="6" t="s">
        <v>90</v>
      </c>
      <c r="C88" s="10">
        <v>1.1698999999999999</v>
      </c>
      <c r="D88" s="6">
        <v>10</v>
      </c>
    </row>
    <row r="89" spans="1:4" ht="15" customHeight="1" x14ac:dyDescent="0.25">
      <c r="A89" s="14" t="s">
        <v>173</v>
      </c>
      <c r="B89" s="6" t="s">
        <v>90</v>
      </c>
      <c r="C89" s="10">
        <v>2.2250000000000001</v>
      </c>
      <c r="D89" s="6">
        <v>10</v>
      </c>
    </row>
    <row r="90" spans="1:4" ht="15" customHeight="1" x14ac:dyDescent="0.25">
      <c r="A90" s="14" t="s">
        <v>174</v>
      </c>
      <c r="B90" s="6" t="s">
        <v>90</v>
      </c>
      <c r="C90" s="10">
        <v>1.8685</v>
      </c>
      <c r="D90" s="6">
        <v>10</v>
      </c>
    </row>
    <row r="91" spans="1:4" ht="15" customHeight="1" x14ac:dyDescent="0.25">
      <c r="A91" s="14" t="s">
        <v>175</v>
      </c>
      <c r="B91" s="6" t="s">
        <v>87</v>
      </c>
      <c r="C91" s="10">
        <v>2.1166999999999998</v>
      </c>
      <c r="D91" s="6">
        <v>8</v>
      </c>
    </row>
    <row r="92" spans="1:4" ht="15" customHeight="1" x14ac:dyDescent="0.25">
      <c r="A92" s="14" t="s">
        <v>176</v>
      </c>
      <c r="B92" s="6" t="s">
        <v>87</v>
      </c>
      <c r="C92" s="10">
        <v>2.0865</v>
      </c>
      <c r="D92" s="6">
        <v>10</v>
      </c>
    </row>
    <row r="93" spans="1:4" ht="15" customHeight="1" x14ac:dyDescent="0.25">
      <c r="A93" s="14" t="s">
        <v>177</v>
      </c>
      <c r="B93" s="6" t="s">
        <v>90</v>
      </c>
      <c r="C93" s="10">
        <v>1.9921</v>
      </c>
      <c r="D93" s="6">
        <v>10</v>
      </c>
    </row>
    <row r="94" spans="1:4" ht="15" customHeight="1" x14ac:dyDescent="0.25">
      <c r="A94" s="14" t="s">
        <v>178</v>
      </c>
      <c r="B94" s="6" t="s">
        <v>90</v>
      </c>
      <c r="C94" s="10">
        <v>2.6156000000000001</v>
      </c>
      <c r="D94" s="6">
        <v>10</v>
      </c>
    </row>
    <row r="95" spans="1:4" ht="15" customHeight="1" x14ac:dyDescent="0.25">
      <c r="A95" s="14" t="s">
        <v>179</v>
      </c>
      <c r="B95" s="6" t="s">
        <v>90</v>
      </c>
      <c r="C95" s="10">
        <v>3.4754999999999998</v>
      </c>
      <c r="D95" s="6">
        <v>6</v>
      </c>
    </row>
    <row r="96" spans="1:4" ht="15" customHeight="1" x14ac:dyDescent="0.25">
      <c r="A96" s="14" t="s">
        <v>180</v>
      </c>
      <c r="B96" s="6" t="s">
        <v>90</v>
      </c>
      <c r="C96" s="10">
        <v>3.6818</v>
      </c>
      <c r="D96" s="6">
        <v>10</v>
      </c>
    </row>
    <row r="97" spans="1:4" ht="15" customHeight="1" x14ac:dyDescent="0.25">
      <c r="A97" s="14" t="s">
        <v>181</v>
      </c>
      <c r="B97" s="6" t="s">
        <v>90</v>
      </c>
      <c r="C97" s="10">
        <v>1.3693</v>
      </c>
      <c r="D97" s="6">
        <v>10</v>
      </c>
    </row>
    <row r="98" spans="1:4" ht="15" customHeight="1" x14ac:dyDescent="0.25">
      <c r="A98" s="14" t="s">
        <v>182</v>
      </c>
      <c r="B98" s="6" t="s">
        <v>90</v>
      </c>
      <c r="C98" s="10">
        <v>3.3249</v>
      </c>
      <c r="D98" s="6">
        <v>5</v>
      </c>
    </row>
    <row r="99" spans="1:4" ht="15" customHeight="1" x14ac:dyDescent="0.25">
      <c r="A99" s="14" t="s">
        <v>183</v>
      </c>
      <c r="B99" s="6" t="s">
        <v>90</v>
      </c>
      <c r="C99" s="10">
        <v>2.0070000000000001</v>
      </c>
      <c r="D99" s="6">
        <v>10</v>
      </c>
    </row>
    <row r="100" spans="1:4" ht="15" customHeight="1" x14ac:dyDescent="0.25">
      <c r="A100" s="14" t="s">
        <v>184</v>
      </c>
      <c r="B100" s="6" t="s">
        <v>90</v>
      </c>
      <c r="C100" s="10">
        <v>2.9839000000000002</v>
      </c>
      <c r="D100" s="6">
        <v>5</v>
      </c>
    </row>
    <row r="101" spans="1:4" ht="15" customHeight="1" x14ac:dyDescent="0.25">
      <c r="A101" s="14" t="s">
        <v>185</v>
      </c>
      <c r="B101" s="6" t="s">
        <v>90</v>
      </c>
      <c r="C101" s="10">
        <v>2.4799000000000002</v>
      </c>
      <c r="D101" s="6">
        <v>5</v>
      </c>
    </row>
    <row r="102" spans="1:4" ht="15" customHeight="1" x14ac:dyDescent="0.25">
      <c r="A102" s="14" t="s">
        <v>186</v>
      </c>
      <c r="B102" s="6" t="s">
        <v>87</v>
      </c>
      <c r="C102" s="10">
        <v>3.2887</v>
      </c>
      <c r="D102" s="6">
        <v>9</v>
      </c>
    </row>
    <row r="103" spans="1:4" ht="15" customHeight="1" x14ac:dyDescent="0.25">
      <c r="A103" s="14" t="s">
        <v>187</v>
      </c>
      <c r="B103" s="6" t="s">
        <v>90</v>
      </c>
      <c r="C103" s="10">
        <v>1.0271999999999999</v>
      </c>
      <c r="D103" s="6">
        <v>10</v>
      </c>
    </row>
    <row r="104" spans="1:4" ht="15" customHeight="1" x14ac:dyDescent="0.25">
      <c r="A104" s="14" t="s">
        <v>188</v>
      </c>
      <c r="B104" s="6" t="s">
        <v>87</v>
      </c>
      <c r="C104" s="10">
        <v>3.3216000000000001</v>
      </c>
      <c r="D104" s="6">
        <v>10</v>
      </c>
    </row>
    <row r="105" spans="1:4" ht="15" customHeight="1" x14ac:dyDescent="0.25">
      <c r="A105" s="14" t="s">
        <v>189</v>
      </c>
      <c r="B105" s="6" t="s">
        <v>90</v>
      </c>
      <c r="C105" s="10">
        <v>1.5565</v>
      </c>
      <c r="D105" s="6">
        <v>10</v>
      </c>
    </row>
    <row r="106" spans="1:4" ht="15" customHeight="1" x14ac:dyDescent="0.25">
      <c r="A106" s="14" t="s">
        <v>190</v>
      </c>
      <c r="B106" s="6" t="s">
        <v>90</v>
      </c>
      <c r="C106" s="10">
        <v>3.2532000000000001</v>
      </c>
      <c r="D106" s="6">
        <v>7</v>
      </c>
    </row>
    <row r="107" spans="1:4" ht="15" customHeight="1" x14ac:dyDescent="0.25">
      <c r="A107" s="14" t="s">
        <v>191</v>
      </c>
      <c r="B107" s="6" t="s">
        <v>90</v>
      </c>
      <c r="C107" s="10">
        <v>2.3256999999999999</v>
      </c>
      <c r="D107" s="6">
        <v>10</v>
      </c>
    </row>
    <row r="108" spans="1:4" ht="15" customHeight="1" x14ac:dyDescent="0.25">
      <c r="A108" s="14" t="s">
        <v>192</v>
      </c>
      <c r="B108" s="6" t="s">
        <v>87</v>
      </c>
      <c r="C108" s="10">
        <v>3.8391000000000002</v>
      </c>
      <c r="D108" s="6">
        <v>10</v>
      </c>
    </row>
    <row r="109" spans="1:4" ht="15" customHeight="1" x14ac:dyDescent="0.25">
      <c r="A109" s="14" t="s">
        <v>193</v>
      </c>
      <c r="B109" s="6" t="s">
        <v>87</v>
      </c>
      <c r="C109" s="10">
        <v>2.8994</v>
      </c>
      <c r="D109" s="6">
        <v>10</v>
      </c>
    </row>
    <row r="110" spans="1:4" ht="15" customHeight="1" x14ac:dyDescent="0.25">
      <c r="A110" s="14" t="s">
        <v>194</v>
      </c>
      <c r="B110" s="6" t="s">
        <v>90</v>
      </c>
      <c r="C110" s="10">
        <v>2.9077000000000002</v>
      </c>
      <c r="D110" s="6">
        <v>10</v>
      </c>
    </row>
    <row r="111" spans="1:4" ht="15" customHeight="1" x14ac:dyDescent="0.25">
      <c r="A111" s="14" t="s">
        <v>195</v>
      </c>
      <c r="B111" s="6" t="s">
        <v>87</v>
      </c>
      <c r="C111" s="10">
        <v>1.6567000000000001</v>
      </c>
      <c r="D111" s="6">
        <v>10</v>
      </c>
    </row>
    <row r="112" spans="1:4" ht="15" customHeight="1" x14ac:dyDescent="0.25">
      <c r="A112" s="14" t="s">
        <v>196</v>
      </c>
      <c r="B112" s="6" t="s">
        <v>90</v>
      </c>
      <c r="C112" s="10">
        <v>4.4085999999999999</v>
      </c>
      <c r="D112" s="6">
        <v>8</v>
      </c>
    </row>
    <row r="113" spans="1:4" ht="15" customHeight="1" x14ac:dyDescent="0.25">
      <c r="A113" s="14" t="s">
        <v>197</v>
      </c>
      <c r="B113" s="6" t="s">
        <v>90</v>
      </c>
      <c r="C113" s="10">
        <v>2.2713000000000001</v>
      </c>
      <c r="D113" s="6">
        <v>10</v>
      </c>
    </row>
    <row r="114" spans="1:4" ht="15" customHeight="1" x14ac:dyDescent="0.25">
      <c r="A114" s="14" t="s">
        <v>198</v>
      </c>
      <c r="B114" s="6" t="s">
        <v>90</v>
      </c>
      <c r="C114" s="10">
        <v>3.2555999999999998</v>
      </c>
      <c r="D114" s="6">
        <v>10</v>
      </c>
    </row>
    <row r="115" spans="1:4" ht="15" customHeight="1" x14ac:dyDescent="0.25">
      <c r="A115" s="14" t="s">
        <v>199</v>
      </c>
      <c r="B115" s="6" t="s">
        <v>90</v>
      </c>
      <c r="C115" s="10">
        <v>2.7490000000000001</v>
      </c>
      <c r="D115" s="6">
        <v>10</v>
      </c>
    </row>
    <row r="116" spans="1:4" ht="15" customHeight="1" x14ac:dyDescent="0.25">
      <c r="A116" s="14" t="s">
        <v>200</v>
      </c>
      <c r="B116" s="6" t="s">
        <v>90</v>
      </c>
      <c r="C116" s="10">
        <v>0.89029999999999998</v>
      </c>
      <c r="D116" s="6">
        <v>10</v>
      </c>
    </row>
    <row r="117" spans="1:4" ht="15" customHeight="1" x14ac:dyDescent="0.25">
      <c r="A117" s="14" t="s">
        <v>201</v>
      </c>
      <c r="B117" s="6" t="s">
        <v>87</v>
      </c>
      <c r="C117" s="10">
        <v>2.0562999999999998</v>
      </c>
      <c r="D117" s="6">
        <v>10</v>
      </c>
    </row>
    <row r="118" spans="1:4" ht="15" customHeight="1" x14ac:dyDescent="0.25">
      <c r="A118" s="14" t="s">
        <v>202</v>
      </c>
      <c r="B118" s="6" t="s">
        <v>90</v>
      </c>
      <c r="C118" s="10">
        <v>0.90490000000000004</v>
      </c>
      <c r="D118" s="6">
        <v>10</v>
      </c>
    </row>
    <row r="119" spans="1:4" ht="15" customHeight="1" x14ac:dyDescent="0.25">
      <c r="A119" s="14" t="s">
        <v>48</v>
      </c>
      <c r="B119" s="6" t="s">
        <v>90</v>
      </c>
      <c r="C119" s="10">
        <v>3.6331000000000002</v>
      </c>
      <c r="D119" s="6">
        <v>10</v>
      </c>
    </row>
    <row r="120" spans="1:4" ht="15" customHeight="1" x14ac:dyDescent="0.25">
      <c r="A120" s="14" t="s">
        <v>203</v>
      </c>
      <c r="B120" s="6" t="s">
        <v>90</v>
      </c>
      <c r="C120" s="10">
        <v>2.1695000000000002</v>
      </c>
      <c r="D120" s="6">
        <v>7</v>
      </c>
    </row>
    <row r="121" spans="1:4" ht="15" customHeight="1" x14ac:dyDescent="0.25">
      <c r="A121" s="14" t="s">
        <v>204</v>
      </c>
      <c r="B121" s="6" t="s">
        <v>90</v>
      </c>
      <c r="C121" s="10">
        <v>1.7786999999999999</v>
      </c>
      <c r="D121" s="6">
        <v>10</v>
      </c>
    </row>
    <row r="122" spans="1:4" ht="15" customHeight="1" x14ac:dyDescent="0.25">
      <c r="A122" s="14" t="s">
        <v>205</v>
      </c>
      <c r="B122" s="6" t="s">
        <v>90</v>
      </c>
      <c r="C122" s="10">
        <v>1.9348000000000001</v>
      </c>
      <c r="D122" s="6">
        <v>10</v>
      </c>
    </row>
    <row r="123" spans="1:4" ht="15" customHeight="1" x14ac:dyDescent="0.25">
      <c r="A123" s="14" t="s">
        <v>206</v>
      </c>
      <c r="B123" s="6" t="s">
        <v>90</v>
      </c>
      <c r="C123" s="10">
        <v>2.8319999999999999</v>
      </c>
      <c r="D123" s="6">
        <v>10</v>
      </c>
    </row>
    <row r="124" spans="1:4" ht="15" customHeight="1" x14ac:dyDescent="0.25">
      <c r="A124" s="14" t="s">
        <v>207</v>
      </c>
      <c r="B124" s="6" t="s">
        <v>90</v>
      </c>
      <c r="C124" s="10">
        <v>1.4097999999999999</v>
      </c>
      <c r="D124" s="6">
        <v>10</v>
      </c>
    </row>
    <row r="125" spans="1:4" ht="15" customHeight="1" x14ac:dyDescent="0.25">
      <c r="A125" s="14" t="s">
        <v>208</v>
      </c>
      <c r="B125" s="6" t="s">
        <v>90</v>
      </c>
      <c r="C125" s="10">
        <v>3.1699000000000002</v>
      </c>
      <c r="D125" s="6">
        <v>6</v>
      </c>
    </row>
    <row r="126" spans="1:4" ht="15" customHeight="1" x14ac:dyDescent="0.25">
      <c r="A126" s="14" t="s">
        <v>209</v>
      </c>
      <c r="B126" s="6" t="s">
        <v>90</v>
      </c>
      <c r="C126" s="10">
        <v>2.1516000000000002</v>
      </c>
      <c r="D126" s="6">
        <v>10</v>
      </c>
    </row>
    <row r="127" spans="1:4" ht="15" customHeight="1" x14ac:dyDescent="0.25">
      <c r="A127" s="14" t="s">
        <v>210</v>
      </c>
      <c r="B127" s="6" t="s">
        <v>90</v>
      </c>
      <c r="C127" s="10">
        <v>3.5062000000000002</v>
      </c>
      <c r="D127" s="6">
        <v>10</v>
      </c>
    </row>
    <row r="128" spans="1:4" ht="15" customHeight="1" x14ac:dyDescent="0.25">
      <c r="A128" s="14" t="s">
        <v>211</v>
      </c>
      <c r="B128" s="6" t="s">
        <v>90</v>
      </c>
      <c r="C128" s="10">
        <v>3.4504000000000001</v>
      </c>
      <c r="D128" s="6">
        <v>8</v>
      </c>
    </row>
    <row r="129" spans="1:4" ht="15" customHeight="1" x14ac:dyDescent="0.25">
      <c r="A129" s="14" t="s">
        <v>212</v>
      </c>
      <c r="B129" s="6" t="s">
        <v>90</v>
      </c>
      <c r="C129" s="10">
        <v>3.5893000000000002</v>
      </c>
      <c r="D129" s="6">
        <v>10</v>
      </c>
    </row>
    <row r="130" spans="1:4" ht="15" customHeight="1" x14ac:dyDescent="0.25">
      <c r="A130" s="14" t="s">
        <v>213</v>
      </c>
      <c r="B130" s="6" t="s">
        <v>90</v>
      </c>
      <c r="C130" s="10">
        <v>0.68720000000000003</v>
      </c>
      <c r="D130" s="6">
        <v>5</v>
      </c>
    </row>
    <row r="131" spans="1:4" ht="15" customHeight="1" x14ac:dyDescent="0.25">
      <c r="A131" s="14" t="s">
        <v>214</v>
      </c>
      <c r="B131" s="6" t="s">
        <v>90</v>
      </c>
      <c r="C131" s="10">
        <v>2.2376999999999998</v>
      </c>
      <c r="D131" s="6">
        <v>7</v>
      </c>
    </row>
    <row r="132" spans="1:4" ht="15" customHeight="1" x14ac:dyDescent="0.25">
      <c r="A132" s="14" t="s">
        <v>215</v>
      </c>
      <c r="B132" s="6" t="s">
        <v>90</v>
      </c>
      <c r="C132" s="10">
        <v>2.1334</v>
      </c>
      <c r="D132" s="6">
        <v>6</v>
      </c>
    </row>
    <row r="133" spans="1:4" ht="15" customHeight="1" x14ac:dyDescent="0.25">
      <c r="A133" s="14" t="s">
        <v>216</v>
      </c>
      <c r="B133" s="6" t="s">
        <v>90</v>
      </c>
      <c r="C133" s="10">
        <v>1.6455</v>
      </c>
      <c r="D133" s="6">
        <v>10</v>
      </c>
    </row>
    <row r="134" spans="1:4" ht="15" customHeight="1" x14ac:dyDescent="0.25">
      <c r="A134" s="14" t="s">
        <v>217</v>
      </c>
      <c r="B134" s="6" t="s">
        <v>90</v>
      </c>
      <c r="C134" s="10">
        <v>2.23</v>
      </c>
      <c r="D134" s="6">
        <v>10</v>
      </c>
    </row>
    <row r="135" spans="1:4" ht="15" customHeight="1" x14ac:dyDescent="0.25">
      <c r="A135" s="14" t="s">
        <v>218</v>
      </c>
      <c r="B135" s="6" t="s">
        <v>90</v>
      </c>
      <c r="C135" s="10">
        <v>1.8880999999999999</v>
      </c>
      <c r="D135" s="6">
        <v>10</v>
      </c>
    </row>
    <row r="136" spans="1:4" ht="15" customHeight="1" x14ac:dyDescent="0.25">
      <c r="A136" s="14" t="s">
        <v>219</v>
      </c>
      <c r="B136" s="6" t="s">
        <v>90</v>
      </c>
      <c r="C136" s="10">
        <v>1.7645999999999999</v>
      </c>
      <c r="D136" s="6">
        <v>10</v>
      </c>
    </row>
    <row r="137" spans="1:4" ht="15" customHeight="1" x14ac:dyDescent="0.25">
      <c r="A137" s="14" t="s">
        <v>220</v>
      </c>
      <c r="B137" s="6" t="s">
        <v>87</v>
      </c>
      <c r="C137" s="10">
        <v>3.9792000000000001</v>
      </c>
      <c r="D137" s="6">
        <v>6</v>
      </c>
    </row>
    <row r="138" spans="1:4" ht="15" customHeight="1" x14ac:dyDescent="0.25">
      <c r="A138" s="14" t="s">
        <v>221</v>
      </c>
      <c r="B138" s="6" t="s">
        <v>90</v>
      </c>
      <c r="C138" s="10">
        <v>3.0019999999999998</v>
      </c>
      <c r="D138" s="6">
        <v>10</v>
      </c>
    </row>
    <row r="139" spans="1:4" ht="15" customHeight="1" x14ac:dyDescent="0.25">
      <c r="A139" s="14" t="s">
        <v>222</v>
      </c>
      <c r="B139" s="6" t="s">
        <v>90</v>
      </c>
      <c r="C139" s="10">
        <v>2.891</v>
      </c>
      <c r="D139" s="6">
        <v>7</v>
      </c>
    </row>
    <row r="140" spans="1:4" ht="15" customHeight="1" x14ac:dyDescent="0.25">
      <c r="A140" s="14" t="s">
        <v>223</v>
      </c>
      <c r="B140" s="6" t="s">
        <v>87</v>
      </c>
      <c r="C140" s="10">
        <v>2.3277000000000001</v>
      </c>
      <c r="D140" s="6">
        <v>10</v>
      </c>
    </row>
    <row r="141" spans="1:4" ht="15" customHeight="1" x14ac:dyDescent="0.25">
      <c r="A141" s="14" t="s">
        <v>224</v>
      </c>
      <c r="B141" s="6" t="s">
        <v>90</v>
      </c>
      <c r="C141" s="10">
        <v>2.1694</v>
      </c>
      <c r="D141" s="6">
        <v>10</v>
      </c>
    </row>
    <row r="142" spans="1:4" ht="15" customHeight="1" x14ac:dyDescent="0.25">
      <c r="A142" s="14" t="s">
        <v>225</v>
      </c>
      <c r="B142" s="6" t="s">
        <v>87</v>
      </c>
      <c r="C142" s="10">
        <v>1.7059</v>
      </c>
      <c r="D142" s="6">
        <v>8</v>
      </c>
    </row>
    <row r="143" spans="1:4" ht="15" customHeight="1" x14ac:dyDescent="0.25">
      <c r="A143" s="14" t="s">
        <v>226</v>
      </c>
      <c r="B143" s="6" t="s">
        <v>90</v>
      </c>
      <c r="C143" s="10">
        <v>2.2957999999999998</v>
      </c>
      <c r="D143" s="6">
        <v>10</v>
      </c>
    </row>
    <row r="144" spans="1:4" ht="15" customHeight="1" x14ac:dyDescent="0.25">
      <c r="A144" s="14" t="s">
        <v>227</v>
      </c>
      <c r="B144" s="6" t="s">
        <v>90</v>
      </c>
      <c r="C144" s="10">
        <v>1.8042</v>
      </c>
      <c r="D144" s="6">
        <v>10</v>
      </c>
    </row>
    <row r="145" spans="1:4" ht="15" customHeight="1" x14ac:dyDescent="0.25">
      <c r="A145" s="14" t="s">
        <v>228</v>
      </c>
      <c r="B145" s="6" t="s">
        <v>87</v>
      </c>
      <c r="C145" s="10">
        <v>1.0739000000000001</v>
      </c>
      <c r="D145" s="6">
        <v>10</v>
      </c>
    </row>
    <row r="146" spans="1:4" ht="15" customHeight="1" x14ac:dyDescent="0.25">
      <c r="A146" s="14" t="s">
        <v>229</v>
      </c>
      <c r="B146" s="6" t="s">
        <v>87</v>
      </c>
      <c r="C146" s="10">
        <v>2.6694</v>
      </c>
      <c r="D146" s="6">
        <v>10</v>
      </c>
    </row>
    <row r="147" spans="1:4" ht="15" customHeight="1" x14ac:dyDescent="0.25">
      <c r="A147" s="14" t="s">
        <v>230</v>
      </c>
      <c r="B147" s="6" t="s">
        <v>87</v>
      </c>
      <c r="C147" s="10">
        <v>4.4494999999999996</v>
      </c>
      <c r="D147" s="6">
        <v>10</v>
      </c>
    </row>
    <row r="148" spans="1:4" ht="15" customHeight="1" x14ac:dyDescent="0.25">
      <c r="A148" s="14" t="s">
        <v>231</v>
      </c>
      <c r="B148" s="6" t="s">
        <v>87</v>
      </c>
      <c r="C148" s="10">
        <v>2.673</v>
      </c>
      <c r="D148" s="6">
        <v>10</v>
      </c>
    </row>
    <row r="149" spans="1:4" ht="15" customHeight="1" x14ac:dyDescent="0.25">
      <c r="A149" s="14" t="s">
        <v>232</v>
      </c>
      <c r="B149" s="6" t="s">
        <v>90</v>
      </c>
      <c r="C149" s="10">
        <v>2.3271999999999999</v>
      </c>
      <c r="D149" s="6">
        <v>10</v>
      </c>
    </row>
    <row r="150" spans="1:4" ht="15" customHeight="1" x14ac:dyDescent="0.25">
      <c r="A150" s="14" t="s">
        <v>233</v>
      </c>
      <c r="B150" s="6" t="s">
        <v>90</v>
      </c>
      <c r="C150" s="10">
        <v>2.7191000000000001</v>
      </c>
      <c r="D150" s="6">
        <v>10</v>
      </c>
    </row>
    <row r="151" spans="1:4" ht="15" customHeight="1" x14ac:dyDescent="0.25">
      <c r="A151" s="14" t="s">
        <v>234</v>
      </c>
      <c r="B151" s="6" t="s">
        <v>87</v>
      </c>
      <c r="C151" s="10">
        <v>3.1707999999999998</v>
      </c>
      <c r="D151" s="6">
        <v>10</v>
      </c>
    </row>
    <row r="152" spans="1:4" ht="15" customHeight="1" x14ac:dyDescent="0.25">
      <c r="A152" s="14" t="s">
        <v>235</v>
      </c>
      <c r="B152" s="6" t="s">
        <v>90</v>
      </c>
      <c r="C152" s="10">
        <v>2.5781000000000001</v>
      </c>
      <c r="D152" s="6">
        <v>10</v>
      </c>
    </row>
    <row r="153" spans="1:4" ht="15" customHeight="1" x14ac:dyDescent="0.25">
      <c r="A153" s="14" t="s">
        <v>236</v>
      </c>
      <c r="B153" s="6" t="s">
        <v>90</v>
      </c>
      <c r="C153" s="10">
        <v>1.3234999999999999</v>
      </c>
      <c r="D153" s="6">
        <v>6</v>
      </c>
    </row>
    <row r="154" spans="1:4" ht="15" customHeight="1" x14ac:dyDescent="0.25">
      <c r="A154" s="14" t="s">
        <v>237</v>
      </c>
      <c r="B154" s="6" t="s">
        <v>90</v>
      </c>
      <c r="C154" s="10">
        <v>4.8112000000000004</v>
      </c>
      <c r="D154" s="6">
        <v>5</v>
      </c>
    </row>
    <row r="155" spans="1:4" ht="15" customHeight="1" x14ac:dyDescent="0.25">
      <c r="A155" s="14" t="s">
        <v>238</v>
      </c>
      <c r="B155" s="6" t="s">
        <v>90</v>
      </c>
      <c r="C155" s="10">
        <v>1.163</v>
      </c>
      <c r="D155" s="6">
        <v>10</v>
      </c>
    </row>
    <row r="156" spans="1:4" ht="15" customHeight="1" x14ac:dyDescent="0.25">
      <c r="A156" s="14" t="s">
        <v>239</v>
      </c>
      <c r="B156" s="6" t="s">
        <v>87</v>
      </c>
      <c r="C156" s="10">
        <v>3.4601000000000002</v>
      </c>
      <c r="D156" s="6">
        <v>10</v>
      </c>
    </row>
    <row r="157" spans="1:4" ht="15" customHeight="1" x14ac:dyDescent="0.25">
      <c r="A157" s="14" t="s">
        <v>240</v>
      </c>
      <c r="B157" s="6" t="s">
        <v>90</v>
      </c>
      <c r="C157" s="10">
        <v>2.5249000000000001</v>
      </c>
      <c r="D157" s="6">
        <v>9</v>
      </c>
    </row>
    <row r="158" spans="1:4" ht="15" customHeight="1" x14ac:dyDescent="0.25">
      <c r="A158" s="14" t="s">
        <v>241</v>
      </c>
      <c r="B158" s="6" t="s">
        <v>90</v>
      </c>
      <c r="C158" s="10">
        <v>2.2486999999999999</v>
      </c>
      <c r="D158" s="6">
        <v>7</v>
      </c>
    </row>
    <row r="159" spans="1:4" ht="15" customHeight="1" x14ac:dyDescent="0.25">
      <c r="A159" s="14" t="s">
        <v>242</v>
      </c>
      <c r="B159" s="6" t="s">
        <v>90</v>
      </c>
      <c r="C159" s="10">
        <v>3.8254999999999999</v>
      </c>
      <c r="D159" s="6">
        <v>8</v>
      </c>
    </row>
    <row r="160" spans="1:4" ht="15" customHeight="1" x14ac:dyDescent="0.25">
      <c r="A160" s="14" t="s">
        <v>243</v>
      </c>
      <c r="B160" s="6" t="s">
        <v>90</v>
      </c>
      <c r="C160" s="10">
        <v>3.8481000000000001</v>
      </c>
      <c r="D160" s="6">
        <v>10</v>
      </c>
    </row>
    <row r="161" spans="1:4" ht="15" customHeight="1" x14ac:dyDescent="0.25">
      <c r="A161" s="14" t="s">
        <v>244</v>
      </c>
      <c r="B161" s="6" t="s">
        <v>90</v>
      </c>
      <c r="C161" s="10">
        <v>2.0912000000000002</v>
      </c>
      <c r="D161" s="6">
        <v>10</v>
      </c>
    </row>
    <row r="162" spans="1:4" ht="15" customHeight="1" x14ac:dyDescent="0.25">
      <c r="A162" s="14" t="s">
        <v>245</v>
      </c>
      <c r="B162" s="6" t="s">
        <v>90</v>
      </c>
      <c r="C162" s="10">
        <v>2.5363000000000002</v>
      </c>
      <c r="D162" s="6">
        <v>9</v>
      </c>
    </row>
    <row r="163" spans="1:4" ht="15" customHeight="1" x14ac:dyDescent="0.25">
      <c r="A163" s="14" t="s">
        <v>246</v>
      </c>
      <c r="B163" s="6" t="s">
        <v>90</v>
      </c>
      <c r="C163" s="10">
        <v>2.3163999999999998</v>
      </c>
      <c r="D163" s="6">
        <v>10</v>
      </c>
    </row>
    <row r="164" spans="1:4" ht="15" customHeight="1" x14ac:dyDescent="0.25">
      <c r="A164" s="14" t="s">
        <v>247</v>
      </c>
      <c r="B164" s="6" t="s">
        <v>90</v>
      </c>
      <c r="C164" s="10">
        <v>3.6177000000000001</v>
      </c>
      <c r="D164" s="6">
        <v>10</v>
      </c>
    </row>
    <row r="165" spans="1:4" ht="15" customHeight="1" x14ac:dyDescent="0.25">
      <c r="A165" s="14" t="s">
        <v>248</v>
      </c>
      <c r="B165" s="6" t="s">
        <v>87</v>
      </c>
      <c r="C165" s="10">
        <v>2.0444</v>
      </c>
      <c r="D165" s="6">
        <v>10</v>
      </c>
    </row>
    <row r="166" spans="1:4" ht="15" customHeight="1" x14ac:dyDescent="0.25">
      <c r="A166" s="14" t="s">
        <v>249</v>
      </c>
      <c r="B166" s="6" t="s">
        <v>87</v>
      </c>
      <c r="C166" s="10">
        <v>1.7204999999999999</v>
      </c>
      <c r="D166" s="6">
        <v>10</v>
      </c>
    </row>
    <row r="167" spans="1:4" ht="15" customHeight="1" x14ac:dyDescent="0.25">
      <c r="A167" s="14" t="s">
        <v>250</v>
      </c>
      <c r="B167" s="6" t="s">
        <v>87</v>
      </c>
      <c r="C167" s="10">
        <v>2.7427000000000001</v>
      </c>
      <c r="D167" s="6">
        <v>7</v>
      </c>
    </row>
    <row r="168" spans="1:4" ht="15" customHeight="1" x14ac:dyDescent="0.25">
      <c r="A168" s="14" t="s">
        <v>251</v>
      </c>
      <c r="B168" s="6" t="s">
        <v>90</v>
      </c>
      <c r="C168" s="10">
        <v>2.2233999999999998</v>
      </c>
      <c r="D168" s="6">
        <v>10</v>
      </c>
    </row>
    <row r="169" spans="1:4" ht="15" customHeight="1" x14ac:dyDescent="0.25">
      <c r="A169" s="14" t="s">
        <v>252</v>
      </c>
      <c r="B169" s="6" t="s">
        <v>90</v>
      </c>
      <c r="C169" s="10">
        <v>3.3065000000000002</v>
      </c>
      <c r="D169" s="6">
        <v>10</v>
      </c>
    </row>
    <row r="170" spans="1:4" ht="15" customHeight="1" x14ac:dyDescent="0.25">
      <c r="A170" s="14" t="s">
        <v>253</v>
      </c>
      <c r="B170" s="6" t="s">
        <v>90</v>
      </c>
      <c r="C170" s="10">
        <v>2.9565999999999999</v>
      </c>
      <c r="D170" s="6">
        <v>6</v>
      </c>
    </row>
    <row r="171" spans="1:4" ht="15" customHeight="1" x14ac:dyDescent="0.25">
      <c r="A171" s="14" t="s">
        <v>254</v>
      </c>
      <c r="B171" s="6" t="s">
        <v>90</v>
      </c>
      <c r="C171" s="10">
        <v>2.4544999999999999</v>
      </c>
      <c r="D171" s="6">
        <v>10</v>
      </c>
    </row>
    <row r="172" spans="1:4" ht="15" customHeight="1" x14ac:dyDescent="0.25">
      <c r="A172" s="14" t="s">
        <v>255</v>
      </c>
      <c r="B172" s="6" t="s">
        <v>90</v>
      </c>
      <c r="C172" s="10">
        <v>3.1625000000000001</v>
      </c>
      <c r="D172" s="6">
        <v>8</v>
      </c>
    </row>
    <row r="173" spans="1:4" ht="15" customHeight="1" x14ac:dyDescent="0.25">
      <c r="A173" s="14" t="s">
        <v>256</v>
      </c>
      <c r="B173" s="6" t="s">
        <v>87</v>
      </c>
      <c r="C173" s="10">
        <v>1.5840000000000001</v>
      </c>
      <c r="D173" s="6">
        <v>10</v>
      </c>
    </row>
    <row r="174" spans="1:4" ht="15" customHeight="1" x14ac:dyDescent="0.25">
      <c r="A174" s="14" t="s">
        <v>257</v>
      </c>
      <c r="B174" s="6" t="s">
        <v>90</v>
      </c>
      <c r="C174" s="10">
        <v>1.8567</v>
      </c>
      <c r="D174" s="6">
        <v>10</v>
      </c>
    </row>
    <row r="175" spans="1:4" ht="15" customHeight="1" x14ac:dyDescent="0.25">
      <c r="A175" s="14" t="s">
        <v>258</v>
      </c>
      <c r="B175" s="6" t="s">
        <v>87</v>
      </c>
      <c r="C175" s="10">
        <v>2.4872000000000001</v>
      </c>
      <c r="D175" s="6">
        <v>5</v>
      </c>
    </row>
    <row r="176" spans="1:4" ht="15" customHeight="1" x14ac:dyDescent="0.25">
      <c r="A176" s="14" t="s">
        <v>259</v>
      </c>
      <c r="B176" s="6" t="s">
        <v>90</v>
      </c>
      <c r="C176" s="10">
        <v>2.391</v>
      </c>
      <c r="D176" s="6">
        <v>6</v>
      </c>
    </row>
    <row r="177" spans="1:4" ht="15" customHeight="1" x14ac:dyDescent="0.25">
      <c r="A177" s="14" t="s">
        <v>260</v>
      </c>
      <c r="B177" s="6" t="s">
        <v>90</v>
      </c>
      <c r="C177" s="10">
        <v>1.6712</v>
      </c>
      <c r="D177" s="6">
        <v>9</v>
      </c>
    </row>
    <row r="178" spans="1:4" ht="15" customHeight="1" x14ac:dyDescent="0.25">
      <c r="A178" s="14" t="s">
        <v>261</v>
      </c>
      <c r="B178" s="6" t="s">
        <v>90</v>
      </c>
      <c r="C178" s="10">
        <v>1.5931999999999999</v>
      </c>
      <c r="D178" s="6">
        <v>10</v>
      </c>
    </row>
    <row r="179" spans="1:4" ht="15" customHeight="1" x14ac:dyDescent="0.25">
      <c r="A179" s="14" t="s">
        <v>262</v>
      </c>
      <c r="B179" s="6" t="s">
        <v>90</v>
      </c>
      <c r="C179" s="10">
        <v>2.6006</v>
      </c>
      <c r="D179" s="6">
        <v>10</v>
      </c>
    </row>
    <row r="180" spans="1:4" ht="15" customHeight="1" x14ac:dyDescent="0.25">
      <c r="A180" s="14" t="s">
        <v>263</v>
      </c>
      <c r="B180" s="6" t="s">
        <v>87</v>
      </c>
      <c r="C180" s="10">
        <v>2.6839</v>
      </c>
      <c r="D180" s="6">
        <v>10</v>
      </c>
    </row>
    <row r="181" spans="1:4" ht="15" customHeight="1" x14ac:dyDescent="0.25">
      <c r="A181" s="14" t="s">
        <v>264</v>
      </c>
      <c r="B181" s="6" t="s">
        <v>90</v>
      </c>
      <c r="C181" s="10">
        <v>3.1299000000000001</v>
      </c>
      <c r="D181" s="6">
        <v>10</v>
      </c>
    </row>
    <row r="182" spans="1:4" ht="15" customHeight="1" x14ac:dyDescent="0.25">
      <c r="A182" s="14" t="s">
        <v>265</v>
      </c>
      <c r="B182" s="6" t="s">
        <v>90</v>
      </c>
      <c r="C182" s="10">
        <v>3.6627999999999998</v>
      </c>
      <c r="D182" s="6">
        <v>8</v>
      </c>
    </row>
    <row r="183" spans="1:4" ht="15" customHeight="1" x14ac:dyDescent="0.25">
      <c r="A183" s="14" t="s">
        <v>266</v>
      </c>
      <c r="B183" s="6" t="s">
        <v>90</v>
      </c>
      <c r="C183" s="10">
        <v>3.1158000000000001</v>
      </c>
      <c r="D183" s="6">
        <v>10</v>
      </c>
    </row>
    <row r="184" spans="1:4" ht="15" customHeight="1" x14ac:dyDescent="0.25">
      <c r="A184" s="14" t="s">
        <v>267</v>
      </c>
      <c r="B184" s="6" t="s">
        <v>90</v>
      </c>
      <c r="C184" s="10">
        <v>1.2662</v>
      </c>
      <c r="D184" s="6">
        <v>10</v>
      </c>
    </row>
    <row r="185" spans="1:4" ht="15" customHeight="1" x14ac:dyDescent="0.25">
      <c r="A185" s="14" t="s">
        <v>268</v>
      </c>
      <c r="B185" s="6" t="s">
        <v>90</v>
      </c>
      <c r="C185" s="10">
        <v>2.657</v>
      </c>
      <c r="D185" s="6">
        <v>10</v>
      </c>
    </row>
    <row r="186" spans="1:4" ht="15" customHeight="1" x14ac:dyDescent="0.25">
      <c r="A186" s="14" t="s">
        <v>269</v>
      </c>
      <c r="B186" s="6" t="s">
        <v>90</v>
      </c>
      <c r="C186" s="10">
        <v>2.6486000000000001</v>
      </c>
      <c r="D186" s="6">
        <v>8</v>
      </c>
    </row>
    <row r="187" spans="1:4" ht="15" customHeight="1" x14ac:dyDescent="0.25">
      <c r="A187" s="14" t="s">
        <v>270</v>
      </c>
      <c r="B187" s="6" t="s">
        <v>90</v>
      </c>
      <c r="C187" s="10">
        <v>3.3961000000000001</v>
      </c>
      <c r="D187" s="6">
        <v>10</v>
      </c>
    </row>
    <row r="188" spans="1:4" ht="15" customHeight="1" x14ac:dyDescent="0.25">
      <c r="A188" s="14" t="s">
        <v>271</v>
      </c>
      <c r="B188" s="6" t="s">
        <v>90</v>
      </c>
      <c r="C188" s="10">
        <v>2.1246</v>
      </c>
      <c r="D188" s="6">
        <v>10</v>
      </c>
    </row>
    <row r="189" spans="1:4" ht="15" customHeight="1" x14ac:dyDescent="0.25">
      <c r="A189" s="14" t="s">
        <v>272</v>
      </c>
      <c r="B189" s="6" t="s">
        <v>90</v>
      </c>
      <c r="C189" s="10">
        <v>1.8010999999999999</v>
      </c>
      <c r="D189" s="6">
        <v>10</v>
      </c>
    </row>
    <row r="190" spans="1:4" ht="15" customHeight="1" x14ac:dyDescent="0.25">
      <c r="A190" s="14" t="s">
        <v>273</v>
      </c>
      <c r="B190" s="6" t="s">
        <v>87</v>
      </c>
      <c r="C190" s="10">
        <v>2.7704</v>
      </c>
      <c r="D190" s="6">
        <v>6</v>
      </c>
    </row>
    <row r="191" spans="1:4" ht="15" customHeight="1" x14ac:dyDescent="0.25">
      <c r="A191" s="14" t="s">
        <v>274</v>
      </c>
      <c r="B191" s="6" t="s">
        <v>90</v>
      </c>
      <c r="C191" s="10">
        <v>2.2363</v>
      </c>
      <c r="D191" s="6">
        <v>5</v>
      </c>
    </row>
    <row r="192" spans="1:4" ht="15" customHeight="1" x14ac:dyDescent="0.25">
      <c r="A192" s="14" t="s">
        <v>275</v>
      </c>
      <c r="B192" s="6" t="s">
        <v>90</v>
      </c>
      <c r="C192" s="10">
        <v>2.3184</v>
      </c>
      <c r="D192" s="6">
        <v>10</v>
      </c>
    </row>
    <row r="193" spans="1:4" ht="15" customHeight="1" x14ac:dyDescent="0.25">
      <c r="A193" s="14" t="s">
        <v>276</v>
      </c>
      <c r="B193" s="6" t="s">
        <v>90</v>
      </c>
      <c r="C193" s="10">
        <v>2.4630999999999998</v>
      </c>
      <c r="D193" s="6">
        <v>6</v>
      </c>
    </row>
    <row r="194" spans="1:4" ht="15" customHeight="1" x14ac:dyDescent="0.25">
      <c r="A194" s="14" t="s">
        <v>277</v>
      </c>
      <c r="B194" s="6" t="s">
        <v>90</v>
      </c>
      <c r="C194" s="10">
        <v>1.8964000000000001</v>
      </c>
      <c r="D194" s="6">
        <v>10</v>
      </c>
    </row>
    <row r="195" spans="1:4" ht="15" customHeight="1" x14ac:dyDescent="0.25">
      <c r="A195" s="14" t="s">
        <v>278</v>
      </c>
      <c r="B195" s="6" t="s">
        <v>87</v>
      </c>
      <c r="C195" s="10">
        <v>1.2564</v>
      </c>
      <c r="D195" s="6">
        <v>5</v>
      </c>
    </row>
    <row r="196" spans="1:4" ht="15" customHeight="1" x14ac:dyDescent="0.25">
      <c r="A196" s="14" t="s">
        <v>279</v>
      </c>
      <c r="B196" s="6" t="s">
        <v>90</v>
      </c>
      <c r="C196" s="10">
        <v>1.4867999999999999</v>
      </c>
      <c r="D196" s="6">
        <v>10</v>
      </c>
    </row>
    <row r="197" spans="1:4" ht="15" customHeight="1" x14ac:dyDescent="0.25">
      <c r="A197" s="14" t="s">
        <v>280</v>
      </c>
      <c r="B197" s="6" t="s">
        <v>87</v>
      </c>
      <c r="C197" s="10">
        <v>2.1751999999999998</v>
      </c>
      <c r="D197" s="6">
        <v>10</v>
      </c>
    </row>
    <row r="198" spans="1:4" ht="15" customHeight="1" x14ac:dyDescent="0.25">
      <c r="A198" s="14" t="s">
        <v>281</v>
      </c>
      <c r="B198" s="6" t="s">
        <v>90</v>
      </c>
      <c r="C198" s="10">
        <v>3.5724999999999998</v>
      </c>
      <c r="D198" s="6">
        <v>6</v>
      </c>
    </row>
    <row r="199" spans="1:4" ht="15" customHeight="1" x14ac:dyDescent="0.25">
      <c r="A199" s="14" t="s">
        <v>282</v>
      </c>
      <c r="B199" s="6" t="s">
        <v>90</v>
      </c>
      <c r="C199" s="10">
        <v>5.8448000000000002</v>
      </c>
      <c r="D199" s="6">
        <v>6</v>
      </c>
    </row>
    <row r="200" spans="1:4" ht="15" customHeight="1" x14ac:dyDescent="0.25">
      <c r="A200" s="14" t="s">
        <v>283</v>
      </c>
      <c r="B200" s="6" t="s">
        <v>90</v>
      </c>
      <c r="C200" s="10">
        <v>2.9238</v>
      </c>
      <c r="D200" s="6">
        <v>5</v>
      </c>
    </row>
    <row r="201" spans="1:4" ht="15" customHeight="1" x14ac:dyDescent="0.25">
      <c r="A201" s="14" t="s">
        <v>70</v>
      </c>
      <c r="B201" s="6" t="s">
        <v>90</v>
      </c>
      <c r="C201" s="10">
        <v>2.2301000000000002</v>
      </c>
      <c r="D201" s="6">
        <v>10</v>
      </c>
    </row>
    <row r="202" spans="1:4" ht="15" customHeight="1" x14ac:dyDescent="0.25">
      <c r="A202" s="14" t="s">
        <v>284</v>
      </c>
      <c r="B202" s="6" t="s">
        <v>90</v>
      </c>
      <c r="C202" s="10">
        <v>3.6528999999999998</v>
      </c>
      <c r="D202" s="6">
        <v>10</v>
      </c>
    </row>
    <row r="203" spans="1:4" ht="15" customHeight="1" x14ac:dyDescent="0.25">
      <c r="A203" s="14" t="s">
        <v>285</v>
      </c>
      <c r="B203" s="6" t="s">
        <v>87</v>
      </c>
      <c r="C203" s="10">
        <v>3.9769000000000001</v>
      </c>
      <c r="D203" s="6">
        <v>5</v>
      </c>
    </row>
    <row r="204" spans="1:4" ht="15" customHeight="1" x14ac:dyDescent="0.25">
      <c r="A204" s="14" t="s">
        <v>286</v>
      </c>
      <c r="B204" s="6" t="s">
        <v>90</v>
      </c>
      <c r="C204" s="10">
        <v>5.0621999999999998</v>
      </c>
      <c r="D204" s="6">
        <v>10</v>
      </c>
    </row>
    <row r="205" spans="1:4" ht="15" customHeight="1" x14ac:dyDescent="0.25">
      <c r="A205" s="14" t="s">
        <v>287</v>
      </c>
      <c r="B205" s="6" t="s">
        <v>87</v>
      </c>
      <c r="C205" s="10">
        <v>2.1248</v>
      </c>
      <c r="D205" s="6">
        <v>10</v>
      </c>
    </row>
    <row r="206" spans="1:4" ht="15" customHeight="1" x14ac:dyDescent="0.25">
      <c r="A206" s="14" t="s">
        <v>288</v>
      </c>
      <c r="B206" s="6" t="s">
        <v>87</v>
      </c>
      <c r="C206" s="10">
        <v>4.2584999999999997</v>
      </c>
      <c r="D206" s="6">
        <v>7</v>
      </c>
    </row>
    <row r="207" spans="1:4" ht="15" customHeight="1" x14ac:dyDescent="0.25">
      <c r="A207" s="14" t="s">
        <v>289</v>
      </c>
      <c r="B207" s="6" t="s">
        <v>90</v>
      </c>
      <c r="C207" s="10">
        <v>3.0289999999999999</v>
      </c>
      <c r="D207" s="6">
        <v>7</v>
      </c>
    </row>
    <row r="208" spans="1:4" ht="15" customHeight="1" x14ac:dyDescent="0.25">
      <c r="A208" s="14" t="s">
        <v>290</v>
      </c>
      <c r="B208" s="6" t="s">
        <v>87</v>
      </c>
      <c r="C208" s="10">
        <v>2.1042000000000001</v>
      </c>
      <c r="D208" s="6">
        <v>10</v>
      </c>
    </row>
    <row r="209" spans="1:4" ht="15" customHeight="1" x14ac:dyDescent="0.25">
      <c r="A209" s="14" t="s">
        <v>291</v>
      </c>
      <c r="B209" s="6" t="s">
        <v>90</v>
      </c>
      <c r="C209" s="10">
        <v>2.8778000000000001</v>
      </c>
      <c r="D209" s="6">
        <v>10</v>
      </c>
    </row>
    <row r="210" spans="1:4" ht="15" customHeight="1" x14ac:dyDescent="0.25">
      <c r="A210" s="14" t="s">
        <v>292</v>
      </c>
      <c r="B210" s="6" t="s">
        <v>90</v>
      </c>
      <c r="C210" s="10">
        <v>2.1972</v>
      </c>
      <c r="D210" s="6">
        <v>10</v>
      </c>
    </row>
    <row r="211" spans="1:4" ht="15" customHeight="1" x14ac:dyDescent="0.25">
      <c r="A211" s="14" t="s">
        <v>293</v>
      </c>
      <c r="B211" s="6" t="s">
        <v>90</v>
      </c>
      <c r="C211" s="10">
        <v>2.0466000000000002</v>
      </c>
      <c r="D211" s="6">
        <v>10</v>
      </c>
    </row>
    <row r="212" spans="1:4" ht="15" customHeight="1" x14ac:dyDescent="0.25">
      <c r="A212" s="14" t="s">
        <v>294</v>
      </c>
      <c r="B212" s="6" t="s">
        <v>90</v>
      </c>
      <c r="C212" s="10">
        <v>1.6982999999999999</v>
      </c>
      <c r="D212" s="6">
        <v>10</v>
      </c>
    </row>
    <row r="213" spans="1:4" ht="15" customHeight="1" x14ac:dyDescent="0.25">
      <c r="A213" s="14" t="s">
        <v>295</v>
      </c>
      <c r="B213" s="6" t="s">
        <v>90</v>
      </c>
      <c r="C213" s="10">
        <v>2.3155999999999999</v>
      </c>
      <c r="D213" s="6">
        <v>10</v>
      </c>
    </row>
    <row r="214" spans="1:4" ht="15" customHeight="1" x14ac:dyDescent="0.25">
      <c r="A214" s="14" t="s">
        <v>80</v>
      </c>
      <c r="B214" s="6" t="s">
        <v>90</v>
      </c>
      <c r="C214" s="10">
        <v>3.6088</v>
      </c>
      <c r="D214" s="6">
        <v>10</v>
      </c>
    </row>
    <row r="215" spans="1:4" ht="15" customHeight="1" x14ac:dyDescent="0.25">
      <c r="A215" s="14" t="s">
        <v>296</v>
      </c>
      <c r="B215" s="6" t="s">
        <v>90</v>
      </c>
      <c r="C215" s="10">
        <v>1.7519</v>
      </c>
      <c r="D215" s="6">
        <v>10</v>
      </c>
    </row>
    <row r="216" spans="1:4" ht="15" customHeight="1" x14ac:dyDescent="0.25">
      <c r="A216" s="14" t="s">
        <v>297</v>
      </c>
      <c r="B216" s="6" t="s">
        <v>90</v>
      </c>
      <c r="C216" s="10">
        <v>1.4011</v>
      </c>
      <c r="D216" s="6">
        <v>10</v>
      </c>
    </row>
    <row r="217" spans="1:4" ht="15" customHeight="1" x14ac:dyDescent="0.25">
      <c r="A217" s="14" t="s">
        <v>298</v>
      </c>
      <c r="B217" s="6" t="s">
        <v>90</v>
      </c>
      <c r="C217" s="10">
        <v>3.0093999999999999</v>
      </c>
      <c r="D217" s="6">
        <v>10</v>
      </c>
    </row>
    <row r="218" spans="1:4" ht="15" customHeight="1" x14ac:dyDescent="0.25">
      <c r="A218" s="14" t="s">
        <v>299</v>
      </c>
      <c r="B218" s="6" t="s">
        <v>90</v>
      </c>
      <c r="C218" s="10">
        <v>1.5604</v>
      </c>
      <c r="D218" s="6">
        <v>10</v>
      </c>
    </row>
    <row r="219" spans="1:4" ht="15" customHeight="1" x14ac:dyDescent="0.25">
      <c r="A219" s="14" t="s">
        <v>300</v>
      </c>
      <c r="B219" s="6" t="s">
        <v>90</v>
      </c>
      <c r="C219" s="10">
        <v>4.2587000000000002</v>
      </c>
      <c r="D219" s="6">
        <v>10</v>
      </c>
    </row>
    <row r="220" spans="1:4" ht="15" customHeight="1" x14ac:dyDescent="0.25">
      <c r="A220" s="14" t="s">
        <v>40</v>
      </c>
      <c r="B220" s="6" t="s">
        <v>87</v>
      </c>
      <c r="C220" s="10">
        <v>2.9116</v>
      </c>
      <c r="D220" s="6">
        <v>10</v>
      </c>
    </row>
    <row r="221" spans="1:4" ht="15" customHeight="1" x14ac:dyDescent="0.25">
      <c r="A221" s="14" t="s">
        <v>301</v>
      </c>
      <c r="B221" s="6" t="s">
        <v>90</v>
      </c>
      <c r="C221" s="10">
        <v>1.9666999999999999</v>
      </c>
      <c r="D221" s="6">
        <v>10</v>
      </c>
    </row>
    <row r="222" spans="1:4" ht="15" customHeight="1" x14ac:dyDescent="0.25">
      <c r="A222" s="14" t="s">
        <v>302</v>
      </c>
      <c r="B222" s="6" t="s">
        <v>87</v>
      </c>
      <c r="C222" s="10">
        <v>2.3631000000000002</v>
      </c>
      <c r="D222" s="6">
        <v>10</v>
      </c>
    </row>
    <row r="223" spans="1:4" ht="15" customHeight="1" x14ac:dyDescent="0.25">
      <c r="A223" s="14" t="s">
        <v>303</v>
      </c>
      <c r="B223" s="6" t="s">
        <v>90</v>
      </c>
      <c r="C223" s="10">
        <v>2.8077999999999999</v>
      </c>
      <c r="D223" s="6">
        <v>10</v>
      </c>
    </row>
    <row r="224" spans="1:4" ht="15" customHeight="1" x14ac:dyDescent="0.25">
      <c r="A224" s="14" t="s">
        <v>304</v>
      </c>
      <c r="B224" s="6" t="s">
        <v>90</v>
      </c>
      <c r="C224" s="10">
        <v>2.3975</v>
      </c>
      <c r="D224" s="6">
        <v>10</v>
      </c>
    </row>
    <row r="225" spans="1:4" ht="15" customHeight="1" x14ac:dyDescent="0.25">
      <c r="A225" s="14" t="s">
        <v>305</v>
      </c>
      <c r="B225" s="6" t="s">
        <v>90</v>
      </c>
      <c r="C225" s="10">
        <v>1.9923</v>
      </c>
      <c r="D225" s="6">
        <v>10</v>
      </c>
    </row>
    <row r="226" spans="1:4" ht="15" customHeight="1" x14ac:dyDescent="0.25">
      <c r="A226" s="14" t="s">
        <v>306</v>
      </c>
      <c r="B226" s="6" t="s">
        <v>90</v>
      </c>
      <c r="C226" s="10">
        <v>1.5948</v>
      </c>
      <c r="D226" s="6">
        <v>10</v>
      </c>
    </row>
    <row r="227" spans="1:4" ht="15" customHeight="1" x14ac:dyDescent="0.25">
      <c r="A227" s="14" t="s">
        <v>307</v>
      </c>
      <c r="B227" s="6" t="s">
        <v>90</v>
      </c>
      <c r="C227" s="10">
        <v>2.1960999999999999</v>
      </c>
      <c r="D227" s="6">
        <v>10</v>
      </c>
    </row>
    <row r="228" spans="1:4" ht="15" customHeight="1" x14ac:dyDescent="0.25">
      <c r="A228" s="14" t="s">
        <v>308</v>
      </c>
      <c r="B228" s="6" t="s">
        <v>87</v>
      </c>
      <c r="C228" s="10">
        <v>1.9742</v>
      </c>
      <c r="D228" s="6">
        <v>10</v>
      </c>
    </row>
    <row r="229" spans="1:4" ht="15" customHeight="1" x14ac:dyDescent="0.25">
      <c r="A229" s="14" t="s">
        <v>309</v>
      </c>
      <c r="B229" s="6" t="s">
        <v>90</v>
      </c>
      <c r="C229" s="10">
        <v>2.8687</v>
      </c>
      <c r="D229" s="6">
        <v>10</v>
      </c>
    </row>
    <row r="230" spans="1:4" ht="15" customHeight="1" x14ac:dyDescent="0.25">
      <c r="A230" s="14" t="s">
        <v>310</v>
      </c>
      <c r="B230" s="6" t="s">
        <v>87</v>
      </c>
      <c r="C230" s="10">
        <v>2.0238999999999998</v>
      </c>
      <c r="D230" s="6">
        <v>8</v>
      </c>
    </row>
    <row r="231" spans="1:4" ht="15" customHeight="1" x14ac:dyDescent="0.25">
      <c r="A231" s="14" t="s">
        <v>311</v>
      </c>
      <c r="B231" s="6" t="s">
        <v>90</v>
      </c>
      <c r="C231" s="10">
        <v>3.0110999999999999</v>
      </c>
      <c r="D231" s="6">
        <v>10</v>
      </c>
    </row>
    <row r="232" spans="1:4" ht="15" customHeight="1" x14ac:dyDescent="0.25">
      <c r="A232" s="14" t="s">
        <v>312</v>
      </c>
      <c r="B232" s="6" t="s">
        <v>87</v>
      </c>
      <c r="C232" s="10">
        <v>1.2504999999999999</v>
      </c>
      <c r="D232" s="6">
        <v>10</v>
      </c>
    </row>
    <row r="233" spans="1:4" ht="15" customHeight="1" x14ac:dyDescent="0.25">
      <c r="A233" s="14" t="s">
        <v>313</v>
      </c>
      <c r="B233" s="6" t="s">
        <v>87</v>
      </c>
      <c r="C233" s="10">
        <v>2.7263999999999999</v>
      </c>
      <c r="D233" s="6">
        <v>10</v>
      </c>
    </row>
    <row r="234" spans="1:4" ht="15" customHeight="1" x14ac:dyDescent="0.25">
      <c r="A234" s="14" t="s">
        <v>314</v>
      </c>
      <c r="B234" s="6" t="s">
        <v>87</v>
      </c>
      <c r="C234" s="10">
        <v>1.6234999999999999</v>
      </c>
      <c r="D234" s="6">
        <v>10</v>
      </c>
    </row>
    <row r="235" spans="1:4" ht="15" customHeight="1" x14ac:dyDescent="0.25">
      <c r="A235" s="14" t="s">
        <v>315</v>
      </c>
      <c r="B235" s="6" t="s">
        <v>90</v>
      </c>
      <c r="C235" s="10">
        <v>2.0878999999999999</v>
      </c>
      <c r="D235" s="6">
        <v>10</v>
      </c>
    </row>
    <row r="236" spans="1:4" ht="15" customHeight="1" x14ac:dyDescent="0.25">
      <c r="A236" s="14" t="s">
        <v>316</v>
      </c>
      <c r="B236" s="6" t="s">
        <v>90</v>
      </c>
      <c r="C236" s="10">
        <v>0.89610000000000001</v>
      </c>
      <c r="D236" s="6">
        <v>10</v>
      </c>
    </row>
    <row r="237" spans="1:4" ht="15" customHeight="1" x14ac:dyDescent="0.25">
      <c r="A237" s="14" t="s">
        <v>317</v>
      </c>
      <c r="B237" s="6" t="s">
        <v>90</v>
      </c>
      <c r="C237" s="10">
        <v>0.99880000000000002</v>
      </c>
      <c r="D237" s="6">
        <v>10</v>
      </c>
    </row>
    <row r="238" spans="1:4" ht="15" customHeight="1" x14ac:dyDescent="0.25">
      <c r="A238" s="14" t="s">
        <v>318</v>
      </c>
      <c r="B238" s="6" t="s">
        <v>87</v>
      </c>
      <c r="C238" s="10">
        <v>2.8342000000000001</v>
      </c>
      <c r="D238" s="6">
        <v>10</v>
      </c>
    </row>
    <row r="239" spans="1:4" ht="15" customHeight="1" x14ac:dyDescent="0.25">
      <c r="A239" s="14" t="s">
        <v>319</v>
      </c>
      <c r="B239" s="6" t="s">
        <v>90</v>
      </c>
      <c r="C239" s="10">
        <v>2.5072000000000001</v>
      </c>
      <c r="D239" s="6">
        <v>10</v>
      </c>
    </row>
    <row r="240" spans="1:4" ht="15" customHeight="1" x14ac:dyDescent="0.25">
      <c r="A240" s="14" t="s">
        <v>320</v>
      </c>
      <c r="B240" s="6" t="s">
        <v>90</v>
      </c>
      <c r="C240" s="10">
        <v>2.9746000000000001</v>
      </c>
      <c r="D240" s="6">
        <v>10</v>
      </c>
    </row>
    <row r="241" spans="1:4" ht="15" customHeight="1" x14ac:dyDescent="0.25">
      <c r="A241" s="14" t="s">
        <v>321</v>
      </c>
      <c r="B241" s="6" t="s">
        <v>90</v>
      </c>
      <c r="C241" s="10">
        <v>2.3252999999999999</v>
      </c>
      <c r="D241" s="6">
        <v>10</v>
      </c>
    </row>
    <row r="242" spans="1:4" ht="15" customHeight="1" x14ac:dyDescent="0.25">
      <c r="A242" s="14" t="s">
        <v>322</v>
      </c>
      <c r="B242" s="6" t="s">
        <v>90</v>
      </c>
      <c r="C242" s="10">
        <v>3.3203</v>
      </c>
      <c r="D242" s="6">
        <v>9</v>
      </c>
    </row>
    <row r="243" spans="1:4" ht="15" customHeight="1" x14ac:dyDescent="0.25">
      <c r="A243" s="14" t="s">
        <v>323</v>
      </c>
      <c r="B243" s="6" t="s">
        <v>90</v>
      </c>
      <c r="C243" s="10">
        <v>2.3481999999999998</v>
      </c>
      <c r="D243" s="6">
        <v>5</v>
      </c>
    </row>
    <row r="244" spans="1:4" ht="15" customHeight="1" x14ac:dyDescent="0.25">
      <c r="A244" s="14" t="s">
        <v>324</v>
      </c>
      <c r="B244" s="6" t="s">
        <v>90</v>
      </c>
      <c r="C244" s="10">
        <v>1.2293000000000001</v>
      </c>
      <c r="D244" s="6">
        <v>10</v>
      </c>
    </row>
    <row r="245" spans="1:4" ht="15" customHeight="1" x14ac:dyDescent="0.25">
      <c r="A245" s="14" t="s">
        <v>325</v>
      </c>
      <c r="B245" s="6" t="s">
        <v>90</v>
      </c>
      <c r="C245" s="10">
        <v>1.4173</v>
      </c>
      <c r="D245" s="6">
        <v>10</v>
      </c>
    </row>
    <row r="246" spans="1:4" ht="15" customHeight="1" x14ac:dyDescent="0.25">
      <c r="A246" s="14" t="s">
        <v>326</v>
      </c>
      <c r="B246" s="6" t="s">
        <v>90</v>
      </c>
      <c r="C246" s="10">
        <v>2.5510000000000002</v>
      </c>
      <c r="D246" s="6">
        <v>7</v>
      </c>
    </row>
    <row r="247" spans="1:4" ht="15" customHeight="1" x14ac:dyDescent="0.25">
      <c r="A247" s="14" t="s">
        <v>327</v>
      </c>
      <c r="B247" s="6" t="s">
        <v>90</v>
      </c>
      <c r="C247" s="10">
        <v>2.4565000000000001</v>
      </c>
      <c r="D247" s="6">
        <v>8</v>
      </c>
    </row>
    <row r="248" spans="1:4" ht="15" customHeight="1" x14ac:dyDescent="0.25">
      <c r="A248" s="14" t="s">
        <v>35</v>
      </c>
      <c r="B248" s="6" t="s">
        <v>90</v>
      </c>
      <c r="C248" s="10">
        <v>1.4388000000000001</v>
      </c>
      <c r="D248" s="6">
        <v>10</v>
      </c>
    </row>
    <row r="249" spans="1:4" ht="15" customHeight="1" x14ac:dyDescent="0.25">
      <c r="A249" s="14" t="s">
        <v>328</v>
      </c>
      <c r="B249" s="6" t="s">
        <v>90</v>
      </c>
      <c r="C249" s="10">
        <v>2.1918000000000002</v>
      </c>
      <c r="D249" s="6">
        <v>6</v>
      </c>
    </row>
    <row r="250" spans="1:4" ht="15" customHeight="1" x14ac:dyDescent="0.25">
      <c r="A250" s="14" t="s">
        <v>329</v>
      </c>
      <c r="B250" s="6" t="s">
        <v>90</v>
      </c>
      <c r="C250" s="10">
        <v>3.3914</v>
      </c>
      <c r="D250" s="6">
        <v>10</v>
      </c>
    </row>
    <row r="251" spans="1:4" ht="15" customHeight="1" x14ac:dyDescent="0.25">
      <c r="A251" s="14" t="s">
        <v>330</v>
      </c>
      <c r="B251" s="6" t="s">
        <v>90</v>
      </c>
      <c r="C251" s="10">
        <v>1.2621</v>
      </c>
      <c r="D251" s="6">
        <v>10</v>
      </c>
    </row>
    <row r="252" spans="1:4" ht="15" customHeight="1" x14ac:dyDescent="0.25">
      <c r="A252" s="14" t="s">
        <v>331</v>
      </c>
      <c r="B252" s="6" t="s">
        <v>90</v>
      </c>
      <c r="C252" s="10">
        <v>2.8391000000000002</v>
      </c>
      <c r="D252" s="6">
        <v>7</v>
      </c>
    </row>
    <row r="253" spans="1:4" ht="15" customHeight="1" x14ac:dyDescent="0.25">
      <c r="A253" s="14" t="s">
        <v>332</v>
      </c>
      <c r="B253" s="6" t="s">
        <v>87</v>
      </c>
      <c r="C253" s="10">
        <v>3.8201000000000001</v>
      </c>
      <c r="D253" s="6">
        <v>10</v>
      </c>
    </row>
    <row r="254" spans="1:4" ht="15" customHeight="1" x14ac:dyDescent="0.25">
      <c r="A254" s="14" t="s">
        <v>333</v>
      </c>
      <c r="B254" s="6" t="s">
        <v>90</v>
      </c>
      <c r="C254" s="10">
        <v>2.8018999999999998</v>
      </c>
      <c r="D254" s="6">
        <v>10</v>
      </c>
    </row>
    <row r="255" spans="1:4" ht="15" customHeight="1" x14ac:dyDescent="0.25">
      <c r="A255" s="14" t="s">
        <v>334</v>
      </c>
      <c r="B255" s="6" t="s">
        <v>90</v>
      </c>
      <c r="C255" s="10">
        <v>1.7904</v>
      </c>
      <c r="D255" s="6">
        <v>10</v>
      </c>
    </row>
    <row r="256" spans="1:4" ht="15" customHeight="1" x14ac:dyDescent="0.25">
      <c r="A256" s="14" t="s">
        <v>335</v>
      </c>
      <c r="B256" s="6" t="s">
        <v>90</v>
      </c>
      <c r="C256" s="10">
        <v>1.9212</v>
      </c>
      <c r="D256" s="6">
        <v>7</v>
      </c>
    </row>
    <row r="257" spans="1:4" ht="15" customHeight="1" x14ac:dyDescent="0.25">
      <c r="A257" s="14" t="s">
        <v>336</v>
      </c>
      <c r="B257" s="6" t="s">
        <v>90</v>
      </c>
      <c r="C257" s="10">
        <v>2.4767999999999999</v>
      </c>
      <c r="D257" s="6">
        <v>10</v>
      </c>
    </row>
    <row r="258" spans="1:4" ht="15" customHeight="1" x14ac:dyDescent="0.25">
      <c r="A258" s="14" t="s">
        <v>337</v>
      </c>
      <c r="B258" s="6" t="s">
        <v>90</v>
      </c>
      <c r="C258" s="10">
        <v>1.8654999999999999</v>
      </c>
      <c r="D258" s="6">
        <v>10</v>
      </c>
    </row>
    <row r="259" spans="1:4" ht="15" customHeight="1" x14ac:dyDescent="0.25">
      <c r="A259" s="14" t="s">
        <v>338</v>
      </c>
      <c r="B259" s="6" t="s">
        <v>90</v>
      </c>
      <c r="C259" s="10">
        <v>2.9278</v>
      </c>
      <c r="D259" s="6">
        <v>10</v>
      </c>
    </row>
    <row r="260" spans="1:4" ht="15" customHeight="1" x14ac:dyDescent="0.25">
      <c r="A260" s="14" t="s">
        <v>339</v>
      </c>
      <c r="B260" s="6" t="s">
        <v>87</v>
      </c>
      <c r="C260" s="10">
        <v>3.1349999999999998</v>
      </c>
      <c r="D260" s="6">
        <v>10</v>
      </c>
    </row>
    <row r="261" spans="1:4" ht="15" customHeight="1" x14ac:dyDescent="0.25">
      <c r="A261" s="14" t="s">
        <v>340</v>
      </c>
      <c r="B261" s="6" t="s">
        <v>87</v>
      </c>
      <c r="C261" s="10">
        <v>1.9572000000000001</v>
      </c>
      <c r="D261" s="6">
        <v>10</v>
      </c>
    </row>
    <row r="262" spans="1:4" ht="15" customHeight="1" x14ac:dyDescent="0.25">
      <c r="A262" s="14" t="s">
        <v>341</v>
      </c>
      <c r="B262" s="6" t="s">
        <v>90</v>
      </c>
      <c r="C262" s="10">
        <v>2.0482</v>
      </c>
      <c r="D262" s="6">
        <v>10</v>
      </c>
    </row>
    <row r="263" spans="1:4" ht="15" customHeight="1" x14ac:dyDescent="0.25">
      <c r="A263" s="14" t="s">
        <v>342</v>
      </c>
      <c r="B263" s="6" t="s">
        <v>90</v>
      </c>
      <c r="C263" s="10">
        <v>1.2338</v>
      </c>
      <c r="D263" s="6">
        <v>10</v>
      </c>
    </row>
    <row r="264" spans="1:4" ht="15" customHeight="1" x14ac:dyDescent="0.25">
      <c r="A264" s="14" t="s">
        <v>343</v>
      </c>
      <c r="B264" s="6" t="s">
        <v>90</v>
      </c>
      <c r="C264" s="10">
        <v>4.4316000000000004</v>
      </c>
      <c r="D264" s="6">
        <v>5</v>
      </c>
    </row>
    <row r="265" spans="1:4" ht="15" customHeight="1" x14ac:dyDescent="0.25">
      <c r="A265" s="14" t="s">
        <v>344</v>
      </c>
      <c r="B265" s="6" t="s">
        <v>90</v>
      </c>
      <c r="C265" s="10">
        <v>1.3301000000000001</v>
      </c>
      <c r="D265" s="6">
        <v>10</v>
      </c>
    </row>
    <row r="266" spans="1:4" ht="15" customHeight="1" x14ac:dyDescent="0.25">
      <c r="A266" s="14" t="s">
        <v>345</v>
      </c>
      <c r="B266" s="6" t="s">
        <v>90</v>
      </c>
      <c r="C266" s="10">
        <v>1.4691000000000001</v>
      </c>
      <c r="D266" s="6">
        <v>10</v>
      </c>
    </row>
    <row r="267" spans="1:4" ht="15" customHeight="1" x14ac:dyDescent="0.25">
      <c r="A267" s="14" t="s">
        <v>346</v>
      </c>
      <c r="B267" s="6" t="s">
        <v>90</v>
      </c>
      <c r="C267" s="10">
        <v>1.9579</v>
      </c>
      <c r="D267" s="6">
        <v>10</v>
      </c>
    </row>
    <row r="268" spans="1:4" ht="15" customHeight="1" x14ac:dyDescent="0.25">
      <c r="A268" s="14" t="s">
        <v>347</v>
      </c>
      <c r="B268" s="6" t="s">
        <v>90</v>
      </c>
      <c r="C268" s="10">
        <v>1.4039999999999999</v>
      </c>
      <c r="D268" s="6">
        <v>5</v>
      </c>
    </row>
    <row r="269" spans="1:4" ht="15" customHeight="1" x14ac:dyDescent="0.25">
      <c r="A269" s="14" t="s">
        <v>348</v>
      </c>
      <c r="B269" s="6" t="s">
        <v>90</v>
      </c>
      <c r="C269" s="10">
        <v>2.6817000000000002</v>
      </c>
      <c r="D269" s="6">
        <v>8</v>
      </c>
    </row>
    <row r="270" spans="1:4" ht="15" customHeight="1" x14ac:dyDescent="0.25">
      <c r="A270" s="14" t="s">
        <v>349</v>
      </c>
      <c r="B270" s="6" t="s">
        <v>90</v>
      </c>
      <c r="C270" s="10">
        <v>2.9104000000000001</v>
      </c>
      <c r="D270" s="6">
        <v>8</v>
      </c>
    </row>
    <row r="271" spans="1:4" ht="15" customHeight="1" x14ac:dyDescent="0.25">
      <c r="A271" s="14" t="s">
        <v>350</v>
      </c>
      <c r="B271" s="6" t="s">
        <v>90</v>
      </c>
      <c r="C271" s="10">
        <v>3.2534999999999998</v>
      </c>
      <c r="D271" s="6">
        <v>6</v>
      </c>
    </row>
    <row r="272" spans="1:4" ht="15" customHeight="1" x14ac:dyDescent="0.25">
      <c r="A272" s="14" t="s">
        <v>351</v>
      </c>
      <c r="B272" s="6" t="s">
        <v>90</v>
      </c>
      <c r="C272" s="10">
        <v>2.331</v>
      </c>
      <c r="D272" s="6">
        <v>10</v>
      </c>
    </row>
    <row r="273" spans="1:4" ht="15" customHeight="1" x14ac:dyDescent="0.25">
      <c r="A273" s="14" t="s">
        <v>352</v>
      </c>
      <c r="B273" s="6" t="s">
        <v>90</v>
      </c>
      <c r="C273" s="10">
        <v>1.6015999999999999</v>
      </c>
      <c r="D273" s="6">
        <v>9</v>
      </c>
    </row>
    <row r="274" spans="1:4" ht="15" customHeight="1" x14ac:dyDescent="0.25">
      <c r="A274" s="14" t="s">
        <v>353</v>
      </c>
      <c r="B274" s="6" t="s">
        <v>87</v>
      </c>
      <c r="C274" s="10">
        <v>2.2753999999999999</v>
      </c>
      <c r="D274" s="6">
        <v>7</v>
      </c>
    </row>
    <row r="275" spans="1:4" ht="15" customHeight="1" x14ac:dyDescent="0.25">
      <c r="A275" s="14" t="s">
        <v>354</v>
      </c>
      <c r="B275" s="6" t="s">
        <v>90</v>
      </c>
      <c r="C275" s="10">
        <v>1.1595</v>
      </c>
      <c r="D275" s="6">
        <v>6</v>
      </c>
    </row>
    <row r="276" spans="1:4" ht="15" customHeight="1" x14ac:dyDescent="0.25">
      <c r="A276" s="14" t="s">
        <v>355</v>
      </c>
      <c r="B276" s="6" t="s">
        <v>90</v>
      </c>
      <c r="C276" s="10">
        <v>2.6760999999999999</v>
      </c>
      <c r="D276" s="6">
        <v>6</v>
      </c>
    </row>
    <row r="277" spans="1:4" ht="15" customHeight="1" x14ac:dyDescent="0.25">
      <c r="A277" s="14" t="s">
        <v>356</v>
      </c>
      <c r="B277" s="6" t="s">
        <v>90</v>
      </c>
      <c r="C277" s="10">
        <v>3.3332000000000002</v>
      </c>
      <c r="D277" s="6">
        <v>10</v>
      </c>
    </row>
    <row r="278" spans="1:4" ht="15" customHeight="1" x14ac:dyDescent="0.25">
      <c r="A278" s="14" t="s">
        <v>357</v>
      </c>
      <c r="B278" s="6" t="s">
        <v>90</v>
      </c>
      <c r="C278" s="10">
        <v>3.8601000000000001</v>
      </c>
      <c r="D278" s="6">
        <v>10</v>
      </c>
    </row>
    <row r="279" spans="1:4" ht="15" customHeight="1" x14ac:dyDescent="0.25">
      <c r="A279" s="14" t="s">
        <v>358</v>
      </c>
      <c r="B279" s="6" t="s">
        <v>90</v>
      </c>
      <c r="C279" s="10">
        <v>0.17760000000000001</v>
      </c>
      <c r="D279" s="6">
        <v>5</v>
      </c>
    </row>
    <row r="280" spans="1:4" ht="15" customHeight="1" x14ac:dyDescent="0.25">
      <c r="A280" s="14" t="s">
        <v>359</v>
      </c>
      <c r="B280" s="6" t="s">
        <v>87</v>
      </c>
      <c r="C280" s="10">
        <v>4.5803000000000003</v>
      </c>
      <c r="D280" s="6">
        <v>10</v>
      </c>
    </row>
    <row r="281" spans="1:4" ht="15" customHeight="1" x14ac:dyDescent="0.25">
      <c r="A281" s="14" t="s">
        <v>360</v>
      </c>
      <c r="B281" s="6" t="s">
        <v>87</v>
      </c>
      <c r="C281" s="10">
        <v>3.8885999999999998</v>
      </c>
      <c r="D281" s="6">
        <v>5</v>
      </c>
    </row>
    <row r="282" spans="1:4" ht="15" customHeight="1" x14ac:dyDescent="0.25">
      <c r="A282" s="14" t="s">
        <v>361</v>
      </c>
      <c r="B282" s="6" t="s">
        <v>90</v>
      </c>
      <c r="C282" s="10">
        <v>2.3361000000000001</v>
      </c>
      <c r="D282" s="6">
        <v>10</v>
      </c>
    </row>
    <row r="283" spans="1:4" ht="15" customHeight="1" x14ac:dyDescent="0.25">
      <c r="A283" s="14" t="s">
        <v>58</v>
      </c>
      <c r="B283" s="6" t="s">
        <v>90</v>
      </c>
      <c r="C283" s="10">
        <v>2.8613</v>
      </c>
      <c r="D283" s="6">
        <v>10</v>
      </c>
    </row>
    <row r="284" spans="1:4" ht="15" customHeight="1" x14ac:dyDescent="0.25">
      <c r="A284" s="14" t="s">
        <v>362</v>
      </c>
      <c r="B284" s="6" t="s">
        <v>90</v>
      </c>
      <c r="C284" s="10">
        <v>2.9704000000000002</v>
      </c>
      <c r="D284" s="6">
        <v>10</v>
      </c>
    </row>
    <row r="285" spans="1:4" ht="15" customHeight="1" x14ac:dyDescent="0.25">
      <c r="A285" s="14" t="s">
        <v>363</v>
      </c>
      <c r="B285" s="6" t="s">
        <v>90</v>
      </c>
      <c r="C285" s="10">
        <v>3.1048</v>
      </c>
      <c r="D285" s="6">
        <v>5</v>
      </c>
    </row>
    <row r="286" spans="1:4" ht="15" customHeight="1" x14ac:dyDescent="0.25">
      <c r="A286" s="14" t="s">
        <v>364</v>
      </c>
      <c r="B286" s="6" t="s">
        <v>90</v>
      </c>
      <c r="C286" s="10">
        <v>4.1761999999999997</v>
      </c>
      <c r="D286" s="6">
        <v>5</v>
      </c>
    </row>
    <row r="287" spans="1:4" ht="15" customHeight="1" x14ac:dyDescent="0.25">
      <c r="A287" s="14" t="s">
        <v>365</v>
      </c>
      <c r="B287" s="6" t="s">
        <v>90</v>
      </c>
      <c r="C287" s="10">
        <v>4.0803000000000003</v>
      </c>
      <c r="D287" s="6">
        <v>8</v>
      </c>
    </row>
    <row r="288" spans="1:4" ht="15" customHeight="1" x14ac:dyDescent="0.25">
      <c r="A288" s="14" t="s">
        <v>366</v>
      </c>
      <c r="B288" s="6" t="s">
        <v>90</v>
      </c>
      <c r="C288" s="10">
        <v>3.1032000000000002</v>
      </c>
      <c r="D288" s="6">
        <v>10</v>
      </c>
    </row>
    <row r="289" spans="1:4" ht="15" customHeight="1" x14ac:dyDescent="0.25">
      <c r="A289" s="14" t="s">
        <v>367</v>
      </c>
      <c r="B289" s="6" t="s">
        <v>87</v>
      </c>
      <c r="C289" s="10">
        <v>2.4891999999999999</v>
      </c>
      <c r="D289" s="6">
        <v>10</v>
      </c>
    </row>
    <row r="290" spans="1:4" ht="15" customHeight="1" x14ac:dyDescent="0.25">
      <c r="A290" s="14" t="s">
        <v>368</v>
      </c>
      <c r="B290" s="6" t="s">
        <v>90</v>
      </c>
      <c r="C290" s="10">
        <v>1.4396</v>
      </c>
      <c r="D290" s="6">
        <v>9</v>
      </c>
    </row>
    <row r="291" spans="1:4" ht="15" customHeight="1" x14ac:dyDescent="0.25">
      <c r="A291" s="14" t="s">
        <v>369</v>
      </c>
      <c r="B291" s="6" t="s">
        <v>90</v>
      </c>
      <c r="C291" s="10">
        <v>4.2004000000000001</v>
      </c>
      <c r="D291" s="6">
        <v>10</v>
      </c>
    </row>
    <row r="292" spans="1:4" ht="15" customHeight="1" x14ac:dyDescent="0.25">
      <c r="A292" s="14" t="s">
        <v>370</v>
      </c>
      <c r="B292" s="6" t="s">
        <v>90</v>
      </c>
      <c r="C292" s="10">
        <v>1.9129</v>
      </c>
      <c r="D292" s="6">
        <v>10</v>
      </c>
    </row>
    <row r="293" spans="1:4" ht="15" customHeight="1" x14ac:dyDescent="0.25">
      <c r="A293" s="14" t="s">
        <v>371</v>
      </c>
      <c r="B293" s="6" t="s">
        <v>90</v>
      </c>
      <c r="C293" s="10">
        <v>2.8186</v>
      </c>
      <c r="D293" s="6">
        <v>8</v>
      </c>
    </row>
    <row r="294" spans="1:4" ht="15" customHeight="1" x14ac:dyDescent="0.25">
      <c r="A294" s="14" t="s">
        <v>372</v>
      </c>
      <c r="B294" s="6" t="s">
        <v>90</v>
      </c>
      <c r="C294" s="10">
        <v>3.3704999999999998</v>
      </c>
      <c r="D294" s="6">
        <v>10</v>
      </c>
    </row>
    <row r="295" spans="1:4" ht="15" customHeight="1" x14ac:dyDescent="0.25">
      <c r="A295" s="14" t="s">
        <v>373</v>
      </c>
      <c r="B295" s="6" t="s">
        <v>87</v>
      </c>
      <c r="C295" s="10">
        <v>3.7867000000000002</v>
      </c>
      <c r="D295" s="6">
        <v>7</v>
      </c>
    </row>
    <row r="296" spans="1:4" ht="15" customHeight="1" x14ac:dyDescent="0.25">
      <c r="A296" s="14" t="s">
        <v>73</v>
      </c>
      <c r="B296" s="6" t="s">
        <v>90</v>
      </c>
      <c r="C296" s="10">
        <v>2.4281000000000001</v>
      </c>
      <c r="D296" s="6">
        <v>10</v>
      </c>
    </row>
    <row r="297" spans="1:4" ht="15" customHeight="1" x14ac:dyDescent="0.25">
      <c r="A297" s="14" t="s">
        <v>374</v>
      </c>
      <c r="B297" s="6" t="s">
        <v>90</v>
      </c>
      <c r="C297" s="10">
        <v>2.1932</v>
      </c>
      <c r="D297" s="6">
        <v>10</v>
      </c>
    </row>
    <row r="298" spans="1:4" ht="15" customHeight="1" x14ac:dyDescent="0.25">
      <c r="A298" s="14" t="s">
        <v>375</v>
      </c>
      <c r="B298" s="6" t="s">
        <v>90</v>
      </c>
      <c r="C298" s="10">
        <v>2.5049999999999999</v>
      </c>
      <c r="D298" s="6">
        <v>7</v>
      </c>
    </row>
    <row r="299" spans="1:4" ht="15" customHeight="1" x14ac:dyDescent="0.25">
      <c r="A299" s="14" t="s">
        <v>376</v>
      </c>
      <c r="B299" s="6" t="s">
        <v>90</v>
      </c>
      <c r="C299" s="10">
        <v>2.8119000000000001</v>
      </c>
      <c r="D299" s="6">
        <v>10</v>
      </c>
    </row>
    <row r="300" spans="1:4" ht="15" customHeight="1" x14ac:dyDescent="0.25">
      <c r="A300" s="14" t="s">
        <v>377</v>
      </c>
      <c r="B300" s="6" t="s">
        <v>87</v>
      </c>
      <c r="C300" s="10">
        <v>2.9018000000000002</v>
      </c>
      <c r="D300" s="6">
        <v>10</v>
      </c>
    </row>
    <row r="301" spans="1:4" ht="15" customHeight="1" x14ac:dyDescent="0.25">
      <c r="A301" s="14" t="s">
        <v>378</v>
      </c>
      <c r="B301" s="6" t="s">
        <v>90</v>
      </c>
      <c r="C301" s="10">
        <v>3.4628000000000001</v>
      </c>
      <c r="D301" s="6">
        <v>8</v>
      </c>
    </row>
    <row r="302" spans="1:4" ht="15" customHeight="1" x14ac:dyDescent="0.25">
      <c r="A302" s="14" t="s">
        <v>379</v>
      </c>
      <c r="B302" s="6" t="s">
        <v>90</v>
      </c>
      <c r="C302" s="10">
        <v>2.7888999999999999</v>
      </c>
      <c r="D302" s="6">
        <v>7</v>
      </c>
    </row>
    <row r="303" spans="1:4" ht="15" customHeight="1" x14ac:dyDescent="0.25">
      <c r="A303" s="14" t="s">
        <v>380</v>
      </c>
      <c r="B303" s="6" t="s">
        <v>90</v>
      </c>
      <c r="C303" s="10">
        <v>1.3768</v>
      </c>
      <c r="D303" s="6">
        <v>10</v>
      </c>
    </row>
    <row r="304" spans="1:4" ht="15" customHeight="1" x14ac:dyDescent="0.25">
      <c r="A304" s="14" t="s">
        <v>381</v>
      </c>
      <c r="B304" s="6" t="s">
        <v>87</v>
      </c>
      <c r="C304" s="10">
        <v>3.5729000000000002</v>
      </c>
      <c r="D304" s="6">
        <v>10</v>
      </c>
    </row>
    <row r="305" spans="1:4" ht="15" customHeight="1" x14ac:dyDescent="0.25">
      <c r="A305" s="14" t="s">
        <v>382</v>
      </c>
      <c r="B305" s="6" t="s">
        <v>90</v>
      </c>
      <c r="C305" s="10">
        <v>1.9437</v>
      </c>
      <c r="D305" s="6">
        <v>10</v>
      </c>
    </row>
    <row r="306" spans="1:4" ht="15" customHeight="1" x14ac:dyDescent="0.25">
      <c r="A306" s="14" t="s">
        <v>383</v>
      </c>
      <c r="B306" s="6" t="s">
        <v>90</v>
      </c>
      <c r="C306" s="10">
        <v>3.4458000000000002</v>
      </c>
      <c r="D306" s="6">
        <v>10</v>
      </c>
    </row>
    <row r="307" spans="1:4" ht="15" customHeight="1" x14ac:dyDescent="0.25">
      <c r="A307" s="14" t="s">
        <v>384</v>
      </c>
      <c r="B307" s="6" t="s">
        <v>90</v>
      </c>
      <c r="C307" s="10">
        <v>3.1307999999999998</v>
      </c>
      <c r="D307" s="6">
        <v>10</v>
      </c>
    </row>
    <row r="308" spans="1:4" ht="15" customHeight="1" x14ac:dyDescent="0.25">
      <c r="A308" s="14" t="s">
        <v>385</v>
      </c>
      <c r="B308" s="6" t="s">
        <v>87</v>
      </c>
      <c r="C308" s="10">
        <v>2.7785000000000002</v>
      </c>
      <c r="D308" s="6">
        <v>10</v>
      </c>
    </row>
    <row r="309" spans="1:4" ht="15" customHeight="1" x14ac:dyDescent="0.25">
      <c r="A309" s="14" t="s">
        <v>386</v>
      </c>
      <c r="B309" s="6" t="s">
        <v>87</v>
      </c>
      <c r="C309" s="10">
        <v>2.4169999999999998</v>
      </c>
      <c r="D309" s="6">
        <v>10</v>
      </c>
    </row>
    <row r="310" spans="1:4" ht="15" customHeight="1" x14ac:dyDescent="0.25">
      <c r="A310" s="14" t="s">
        <v>387</v>
      </c>
      <c r="B310" s="6" t="s">
        <v>90</v>
      </c>
      <c r="C310" s="10">
        <v>3.0348000000000002</v>
      </c>
      <c r="D310" s="6">
        <v>10</v>
      </c>
    </row>
    <row r="311" spans="1:4" ht="15" customHeight="1" x14ac:dyDescent="0.25">
      <c r="A311" s="14" t="s">
        <v>388</v>
      </c>
      <c r="B311" s="6" t="s">
        <v>90</v>
      </c>
      <c r="C311" s="10">
        <v>2.3016000000000001</v>
      </c>
      <c r="D311" s="6">
        <v>6</v>
      </c>
    </row>
    <row r="312" spans="1:4" ht="15" customHeight="1" x14ac:dyDescent="0.25">
      <c r="A312" s="14" t="s">
        <v>389</v>
      </c>
      <c r="B312" s="6" t="s">
        <v>90</v>
      </c>
      <c r="C312" s="10">
        <v>1.8736999999999999</v>
      </c>
      <c r="D312" s="6">
        <v>10</v>
      </c>
    </row>
    <row r="313" spans="1:4" ht="15" customHeight="1" x14ac:dyDescent="0.25">
      <c r="A313" s="14" t="s">
        <v>390</v>
      </c>
      <c r="B313" s="6" t="s">
        <v>90</v>
      </c>
      <c r="C313" s="10">
        <v>2.2587000000000002</v>
      </c>
      <c r="D313" s="6">
        <v>10</v>
      </c>
    </row>
    <row r="314" spans="1:4" ht="15" customHeight="1" x14ac:dyDescent="0.25">
      <c r="A314" s="14" t="s">
        <v>391</v>
      </c>
      <c r="B314" s="6" t="s">
        <v>90</v>
      </c>
      <c r="C314" s="10">
        <v>3.4866000000000001</v>
      </c>
      <c r="D314" s="6">
        <v>7</v>
      </c>
    </row>
    <row r="315" spans="1:4" ht="15" customHeight="1" x14ac:dyDescent="0.25">
      <c r="A315" s="14" t="s">
        <v>392</v>
      </c>
      <c r="B315" s="6" t="s">
        <v>90</v>
      </c>
      <c r="C315" s="10">
        <v>0.91749999999999998</v>
      </c>
      <c r="D315" s="6">
        <v>10</v>
      </c>
    </row>
    <row r="316" spans="1:4" ht="15" customHeight="1" x14ac:dyDescent="0.25">
      <c r="A316" s="14" t="s">
        <v>393</v>
      </c>
      <c r="B316" s="6" t="s">
        <v>87</v>
      </c>
      <c r="C316" s="10">
        <v>3.5451000000000001</v>
      </c>
      <c r="D316" s="6">
        <v>10</v>
      </c>
    </row>
    <row r="317" spans="1:4" ht="15" customHeight="1" x14ac:dyDescent="0.25">
      <c r="A317" s="14" t="s">
        <v>394</v>
      </c>
      <c r="B317" s="6" t="s">
        <v>90</v>
      </c>
      <c r="C317" s="10">
        <v>2.0343</v>
      </c>
      <c r="D317" s="6">
        <v>10</v>
      </c>
    </row>
    <row r="318" spans="1:4" ht="15" customHeight="1" x14ac:dyDescent="0.25">
      <c r="A318" s="14" t="s">
        <v>395</v>
      </c>
      <c r="B318" s="6" t="s">
        <v>90</v>
      </c>
      <c r="C318" s="10">
        <v>1.8292999999999999</v>
      </c>
      <c r="D318" s="6">
        <v>6</v>
      </c>
    </row>
    <row r="319" spans="1:4" ht="15" customHeight="1" x14ac:dyDescent="0.25">
      <c r="A319" s="14" t="s">
        <v>396</v>
      </c>
      <c r="B319" s="6" t="s">
        <v>90</v>
      </c>
      <c r="C319" s="10">
        <v>2.1833</v>
      </c>
      <c r="D319" s="6">
        <v>10</v>
      </c>
    </row>
    <row r="320" spans="1:4" ht="15" customHeight="1" x14ac:dyDescent="0.25">
      <c r="A320" s="14" t="s">
        <v>397</v>
      </c>
      <c r="B320" s="6" t="s">
        <v>87</v>
      </c>
      <c r="C320" s="10">
        <v>2.4630999999999998</v>
      </c>
      <c r="D320" s="6">
        <v>10</v>
      </c>
    </row>
    <row r="321" spans="1:4" ht="15" customHeight="1" x14ac:dyDescent="0.25">
      <c r="A321" s="14" t="s">
        <v>398</v>
      </c>
      <c r="B321" s="6" t="s">
        <v>90</v>
      </c>
      <c r="C321" s="10">
        <v>2.3679000000000001</v>
      </c>
      <c r="D321" s="6">
        <v>10</v>
      </c>
    </row>
    <row r="322" spans="1:4" ht="15" customHeight="1" x14ac:dyDescent="0.25">
      <c r="A322" s="14" t="s">
        <v>399</v>
      </c>
      <c r="B322" s="6" t="s">
        <v>90</v>
      </c>
      <c r="C322" s="10">
        <v>2.3690000000000002</v>
      </c>
      <c r="D322" s="6">
        <v>10</v>
      </c>
    </row>
    <row r="323" spans="1:4" ht="15" customHeight="1" x14ac:dyDescent="0.25">
      <c r="A323" s="14" t="s">
        <v>400</v>
      </c>
      <c r="B323" s="6" t="s">
        <v>90</v>
      </c>
      <c r="C323" s="10">
        <v>3.2841</v>
      </c>
      <c r="D323" s="6">
        <v>5</v>
      </c>
    </row>
    <row r="324" spans="1:4" ht="15" customHeight="1" x14ac:dyDescent="0.25">
      <c r="A324" s="14" t="s">
        <v>401</v>
      </c>
      <c r="B324" s="6" t="s">
        <v>90</v>
      </c>
      <c r="C324" s="10">
        <v>3.8048999999999999</v>
      </c>
      <c r="D324" s="6">
        <v>10</v>
      </c>
    </row>
    <row r="325" spans="1:4" ht="15" customHeight="1" x14ac:dyDescent="0.25">
      <c r="A325" s="14" t="s">
        <v>402</v>
      </c>
      <c r="B325" s="6" t="s">
        <v>90</v>
      </c>
      <c r="C325" s="10">
        <v>2.29</v>
      </c>
      <c r="D325" s="6">
        <v>5</v>
      </c>
    </row>
    <row r="326" spans="1:4" ht="15" customHeight="1" x14ac:dyDescent="0.25">
      <c r="A326" s="14" t="s">
        <v>403</v>
      </c>
      <c r="B326" s="6" t="s">
        <v>87</v>
      </c>
      <c r="C326" s="10">
        <v>1.5390999999999999</v>
      </c>
      <c r="D326" s="6">
        <v>10</v>
      </c>
    </row>
    <row r="327" spans="1:4" ht="15" customHeight="1" x14ac:dyDescent="0.25">
      <c r="A327" s="14" t="s">
        <v>404</v>
      </c>
      <c r="B327" s="6" t="s">
        <v>90</v>
      </c>
      <c r="C327" s="10">
        <v>2.4152999999999998</v>
      </c>
      <c r="D327" s="6">
        <v>6</v>
      </c>
    </row>
    <row r="328" spans="1:4" ht="15" customHeight="1" x14ac:dyDescent="0.25">
      <c r="A328" s="14" t="s">
        <v>405</v>
      </c>
      <c r="B328" s="6" t="s">
        <v>90</v>
      </c>
      <c r="C328" s="10">
        <v>3.0011000000000001</v>
      </c>
      <c r="D328" s="6">
        <v>10</v>
      </c>
    </row>
    <row r="329" spans="1:4" ht="15" customHeight="1" x14ac:dyDescent="0.25">
      <c r="A329" s="14" t="s">
        <v>406</v>
      </c>
      <c r="B329" s="6" t="s">
        <v>90</v>
      </c>
      <c r="C329" s="10">
        <v>1.7111000000000001</v>
      </c>
      <c r="D329" s="6">
        <v>9</v>
      </c>
    </row>
    <row r="330" spans="1:4" ht="15" customHeight="1" x14ac:dyDescent="0.25">
      <c r="A330" s="14" t="s">
        <v>407</v>
      </c>
      <c r="B330" s="6" t="s">
        <v>90</v>
      </c>
      <c r="C330" s="10">
        <v>2.9750999999999999</v>
      </c>
      <c r="D330" s="6">
        <v>9</v>
      </c>
    </row>
    <row r="331" spans="1:4" ht="15" customHeight="1" x14ac:dyDescent="0.25">
      <c r="A331" s="14" t="s">
        <v>408</v>
      </c>
      <c r="B331" s="6" t="s">
        <v>87</v>
      </c>
      <c r="C331" s="10">
        <v>2.0552000000000001</v>
      </c>
      <c r="D331" s="6">
        <v>10</v>
      </c>
    </row>
    <row r="332" spans="1:4" ht="15" customHeight="1" x14ac:dyDescent="0.25">
      <c r="A332" s="14" t="s">
        <v>409</v>
      </c>
      <c r="B332" s="6" t="s">
        <v>90</v>
      </c>
      <c r="C332" s="10">
        <v>3.0605000000000002</v>
      </c>
      <c r="D332" s="6">
        <v>10</v>
      </c>
    </row>
    <row r="333" spans="1:4" ht="15" customHeight="1" x14ac:dyDescent="0.25">
      <c r="A333" s="14" t="s">
        <v>410</v>
      </c>
      <c r="B333" s="6" t="s">
        <v>90</v>
      </c>
      <c r="C333" s="10">
        <v>2.6684999999999999</v>
      </c>
      <c r="D333" s="6">
        <v>10</v>
      </c>
    </row>
    <row r="334" spans="1:4" ht="15" customHeight="1" x14ac:dyDescent="0.25">
      <c r="A334" s="14" t="s">
        <v>411</v>
      </c>
      <c r="B334" s="6" t="s">
        <v>90</v>
      </c>
      <c r="C334" s="10">
        <v>2.5566</v>
      </c>
      <c r="D334" s="6">
        <v>10</v>
      </c>
    </row>
    <row r="335" spans="1:4" ht="15" customHeight="1" x14ac:dyDescent="0.25">
      <c r="A335" s="14" t="s">
        <v>412</v>
      </c>
      <c r="B335" s="6" t="s">
        <v>90</v>
      </c>
      <c r="C335" s="10">
        <v>2.1412</v>
      </c>
      <c r="D335" s="6">
        <v>10</v>
      </c>
    </row>
    <row r="336" spans="1:4" ht="15" customHeight="1" x14ac:dyDescent="0.25">
      <c r="A336" s="14" t="s">
        <v>413</v>
      </c>
      <c r="B336" s="6" t="s">
        <v>87</v>
      </c>
      <c r="C336" s="10">
        <v>1.8606</v>
      </c>
      <c r="D336" s="6">
        <v>10</v>
      </c>
    </row>
    <row r="337" spans="1:4" ht="15" customHeight="1" x14ac:dyDescent="0.25">
      <c r="A337" s="14" t="s">
        <v>414</v>
      </c>
      <c r="B337" s="6" t="s">
        <v>90</v>
      </c>
      <c r="C337" s="10">
        <v>4.4039999999999999</v>
      </c>
      <c r="D337" s="6">
        <v>10</v>
      </c>
    </row>
    <row r="338" spans="1:4" ht="15" customHeight="1" x14ac:dyDescent="0.25">
      <c r="A338" s="14" t="s">
        <v>415</v>
      </c>
      <c r="B338" s="6" t="s">
        <v>87</v>
      </c>
      <c r="C338" s="10">
        <v>1.9698</v>
      </c>
      <c r="D338" s="6">
        <v>7</v>
      </c>
    </row>
    <row r="339" spans="1:4" ht="15" customHeight="1" x14ac:dyDescent="0.25">
      <c r="A339" s="14" t="s">
        <v>416</v>
      </c>
      <c r="B339" s="6" t="s">
        <v>87</v>
      </c>
      <c r="C339" s="10">
        <v>4.3299000000000003</v>
      </c>
      <c r="D339" s="6">
        <v>10</v>
      </c>
    </row>
    <row r="340" spans="1:4" ht="15" customHeight="1" x14ac:dyDescent="0.25">
      <c r="A340" s="14" t="s">
        <v>417</v>
      </c>
      <c r="B340" s="6" t="s">
        <v>90</v>
      </c>
      <c r="C340" s="10">
        <v>1.7276</v>
      </c>
      <c r="D340" s="6">
        <v>10</v>
      </c>
    </row>
    <row r="341" spans="1:4" ht="15" customHeight="1" x14ac:dyDescent="0.25">
      <c r="A341" s="14" t="s">
        <v>418</v>
      </c>
      <c r="B341" s="6" t="s">
        <v>90</v>
      </c>
      <c r="C341" s="10">
        <v>2.5476000000000001</v>
      </c>
      <c r="D341" s="6">
        <v>10</v>
      </c>
    </row>
    <row r="342" spans="1:4" ht="15" customHeight="1" x14ac:dyDescent="0.25">
      <c r="A342" s="14" t="s">
        <v>419</v>
      </c>
      <c r="B342" s="6" t="s">
        <v>90</v>
      </c>
      <c r="C342" s="10">
        <v>0.89100000000000001</v>
      </c>
      <c r="D342" s="6">
        <v>5</v>
      </c>
    </row>
    <row r="343" spans="1:4" ht="15" customHeight="1" x14ac:dyDescent="0.25">
      <c r="A343" s="14" t="s">
        <v>420</v>
      </c>
      <c r="B343" s="6" t="s">
        <v>87</v>
      </c>
      <c r="C343" s="10">
        <v>2.2038000000000002</v>
      </c>
      <c r="D343" s="6">
        <v>10</v>
      </c>
    </row>
    <row r="344" spans="1:4" ht="15" customHeight="1" x14ac:dyDescent="0.25">
      <c r="A344" s="14" t="s">
        <v>421</v>
      </c>
      <c r="B344" s="6" t="s">
        <v>87</v>
      </c>
      <c r="C344" s="10">
        <v>2.1040999999999999</v>
      </c>
      <c r="D344" s="6">
        <v>5</v>
      </c>
    </row>
    <row r="345" spans="1:4" ht="15" customHeight="1" x14ac:dyDescent="0.25">
      <c r="A345" s="14" t="s">
        <v>422</v>
      </c>
      <c r="B345" s="6" t="s">
        <v>90</v>
      </c>
      <c r="C345" s="10">
        <v>2.3372999999999999</v>
      </c>
      <c r="D345" s="6">
        <v>10</v>
      </c>
    </row>
    <row r="346" spans="1:4" ht="15" customHeight="1" x14ac:dyDescent="0.25">
      <c r="A346" s="14" t="s">
        <v>423</v>
      </c>
      <c r="B346" s="6" t="s">
        <v>90</v>
      </c>
      <c r="C346" s="10">
        <v>2.5948000000000002</v>
      </c>
      <c r="D346" s="6">
        <v>7</v>
      </c>
    </row>
    <row r="347" spans="1:4" ht="15" customHeight="1" x14ac:dyDescent="0.25">
      <c r="A347" s="14" t="s">
        <v>424</v>
      </c>
      <c r="B347" s="6" t="s">
        <v>90</v>
      </c>
      <c r="C347" s="10">
        <v>2.3637999999999999</v>
      </c>
      <c r="D347" s="6">
        <v>10</v>
      </c>
    </row>
    <row r="348" spans="1:4" ht="15" customHeight="1" x14ac:dyDescent="0.25">
      <c r="A348" s="14" t="s">
        <v>425</v>
      </c>
      <c r="B348" s="6" t="s">
        <v>90</v>
      </c>
      <c r="C348" s="10">
        <v>4.8807</v>
      </c>
      <c r="D348" s="6">
        <v>5</v>
      </c>
    </row>
    <row r="349" spans="1:4" ht="15" customHeight="1" x14ac:dyDescent="0.25">
      <c r="A349" s="14" t="s">
        <v>426</v>
      </c>
      <c r="B349" s="6" t="s">
        <v>90</v>
      </c>
      <c r="C349" s="10">
        <v>1.8547</v>
      </c>
      <c r="D349" s="6">
        <v>5</v>
      </c>
    </row>
    <row r="350" spans="1:4" ht="15" customHeight="1" x14ac:dyDescent="0.25">
      <c r="A350" s="14" t="s">
        <v>427</v>
      </c>
      <c r="B350" s="6" t="s">
        <v>90</v>
      </c>
      <c r="C350" s="10">
        <v>2.6604000000000001</v>
      </c>
      <c r="D350" s="6">
        <v>10</v>
      </c>
    </row>
    <row r="351" spans="1:4" ht="15" customHeight="1" x14ac:dyDescent="0.25">
      <c r="A351" s="14" t="s">
        <v>428</v>
      </c>
      <c r="B351" s="6" t="s">
        <v>90</v>
      </c>
      <c r="C351" s="10">
        <v>1.8288</v>
      </c>
      <c r="D351" s="6">
        <v>7</v>
      </c>
    </row>
    <row r="352" spans="1:4" ht="15" customHeight="1" x14ac:dyDescent="0.25">
      <c r="A352" s="14" t="s">
        <v>429</v>
      </c>
      <c r="B352" s="6" t="s">
        <v>90</v>
      </c>
      <c r="C352" s="10">
        <v>2.3843999999999999</v>
      </c>
      <c r="D352" s="6">
        <v>10</v>
      </c>
    </row>
    <row r="353" spans="1:4" ht="15" customHeight="1" x14ac:dyDescent="0.25">
      <c r="A353" s="14" t="s">
        <v>430</v>
      </c>
      <c r="B353" s="6" t="s">
        <v>90</v>
      </c>
      <c r="C353" s="10">
        <v>2.7081</v>
      </c>
      <c r="D353" s="6">
        <v>10</v>
      </c>
    </row>
    <row r="354" spans="1:4" ht="15" customHeight="1" x14ac:dyDescent="0.25">
      <c r="A354" s="14" t="s">
        <v>431</v>
      </c>
      <c r="B354" s="6" t="s">
        <v>90</v>
      </c>
      <c r="C354" s="10">
        <v>3.9407999999999999</v>
      </c>
      <c r="D354" s="6">
        <v>10</v>
      </c>
    </row>
    <row r="355" spans="1:4" ht="15" customHeight="1" x14ac:dyDescent="0.25">
      <c r="A355" s="14" t="s">
        <v>432</v>
      </c>
      <c r="B355" s="6" t="s">
        <v>87</v>
      </c>
      <c r="C355" s="10">
        <v>4.1692999999999998</v>
      </c>
      <c r="D355" s="6">
        <v>10</v>
      </c>
    </row>
    <row r="356" spans="1:4" ht="15" customHeight="1" x14ac:dyDescent="0.25">
      <c r="A356" s="14" t="s">
        <v>433</v>
      </c>
      <c r="B356" s="6" t="s">
        <v>90</v>
      </c>
      <c r="C356" s="10">
        <v>1.4257</v>
      </c>
      <c r="D356" s="6">
        <v>10</v>
      </c>
    </row>
    <row r="357" spans="1:4" ht="15" customHeight="1" x14ac:dyDescent="0.25">
      <c r="A357" s="14" t="s">
        <v>434</v>
      </c>
      <c r="B357" s="6" t="s">
        <v>90</v>
      </c>
      <c r="C357" s="10">
        <v>2.4428999999999998</v>
      </c>
      <c r="D357" s="6">
        <v>9</v>
      </c>
    </row>
    <row r="358" spans="1:4" ht="15" customHeight="1" x14ac:dyDescent="0.25">
      <c r="A358" s="14" t="s">
        <v>435</v>
      </c>
      <c r="B358" s="6" t="s">
        <v>87</v>
      </c>
      <c r="C358" s="10">
        <v>2.4613</v>
      </c>
      <c r="D358" s="6">
        <v>10</v>
      </c>
    </row>
    <row r="359" spans="1:4" ht="15" customHeight="1" x14ac:dyDescent="0.25">
      <c r="A359" s="14" t="s">
        <v>436</v>
      </c>
      <c r="B359" s="6" t="s">
        <v>90</v>
      </c>
      <c r="C359" s="10">
        <v>1.6471</v>
      </c>
      <c r="D359" s="6">
        <v>10</v>
      </c>
    </row>
    <row r="360" spans="1:4" ht="15" customHeight="1" x14ac:dyDescent="0.25">
      <c r="A360" s="14" t="s">
        <v>437</v>
      </c>
      <c r="B360" s="6" t="s">
        <v>90</v>
      </c>
      <c r="C360" s="10">
        <v>2.3639000000000001</v>
      </c>
      <c r="D360" s="6">
        <v>10</v>
      </c>
    </row>
    <row r="361" spans="1:4" ht="15" customHeight="1" x14ac:dyDescent="0.25">
      <c r="A361" s="14" t="s">
        <v>438</v>
      </c>
      <c r="B361" s="6" t="s">
        <v>87</v>
      </c>
      <c r="C361" s="10">
        <v>2.2772999999999999</v>
      </c>
      <c r="D361" s="6">
        <v>10</v>
      </c>
    </row>
    <row r="362" spans="1:4" ht="15" customHeight="1" x14ac:dyDescent="0.25">
      <c r="A362" s="14" t="s">
        <v>439</v>
      </c>
      <c r="B362" s="6" t="s">
        <v>90</v>
      </c>
      <c r="C362" s="10">
        <v>3.2660999999999998</v>
      </c>
      <c r="D362" s="6">
        <v>10</v>
      </c>
    </row>
    <row r="363" spans="1:4" ht="15" customHeight="1" x14ac:dyDescent="0.25">
      <c r="A363" s="14" t="s">
        <v>440</v>
      </c>
      <c r="B363" s="6" t="s">
        <v>90</v>
      </c>
      <c r="C363" s="10">
        <v>2.3774999999999999</v>
      </c>
      <c r="D363" s="6">
        <v>10</v>
      </c>
    </row>
    <row r="364" spans="1:4" ht="15" customHeight="1" x14ac:dyDescent="0.25">
      <c r="A364" s="14" t="s">
        <v>441</v>
      </c>
      <c r="B364" s="6" t="s">
        <v>90</v>
      </c>
      <c r="C364" s="10">
        <v>1.3744000000000001</v>
      </c>
      <c r="D364" s="6">
        <v>7</v>
      </c>
    </row>
    <row r="365" spans="1:4" ht="15" customHeight="1" x14ac:dyDescent="0.25">
      <c r="A365" s="14" t="s">
        <v>442</v>
      </c>
      <c r="B365" s="6" t="s">
        <v>90</v>
      </c>
      <c r="C365" s="10">
        <v>2.1429999999999998</v>
      </c>
      <c r="D365" s="6">
        <v>5</v>
      </c>
    </row>
    <row r="366" spans="1:4" ht="15" customHeight="1" x14ac:dyDescent="0.25">
      <c r="A366" s="14" t="s">
        <v>443</v>
      </c>
      <c r="B366" s="6" t="s">
        <v>90</v>
      </c>
      <c r="C366" s="10">
        <v>2.5356000000000001</v>
      </c>
      <c r="D366" s="6">
        <v>5</v>
      </c>
    </row>
    <row r="367" spans="1:4" ht="15" customHeight="1" x14ac:dyDescent="0.25">
      <c r="A367" s="14" t="s">
        <v>444</v>
      </c>
      <c r="B367" s="6" t="s">
        <v>90</v>
      </c>
      <c r="C367" s="10">
        <v>3.7069000000000001</v>
      </c>
      <c r="D367" s="6">
        <v>10</v>
      </c>
    </row>
    <row r="368" spans="1:4" ht="15" customHeight="1" x14ac:dyDescent="0.25">
      <c r="A368" s="14" t="s">
        <v>445</v>
      </c>
      <c r="B368" s="6" t="s">
        <v>90</v>
      </c>
      <c r="C368" s="10">
        <v>3.5428999999999999</v>
      </c>
      <c r="D368" s="6">
        <v>6</v>
      </c>
    </row>
    <row r="369" spans="1:4" ht="15" customHeight="1" x14ac:dyDescent="0.25">
      <c r="A369" s="14" t="s">
        <v>446</v>
      </c>
      <c r="B369" s="6" t="s">
        <v>90</v>
      </c>
      <c r="C369" s="10">
        <v>2.4967999999999999</v>
      </c>
      <c r="D369" s="6">
        <v>10</v>
      </c>
    </row>
    <row r="370" spans="1:4" ht="15" customHeight="1" x14ac:dyDescent="0.25">
      <c r="A370" s="14" t="s">
        <v>447</v>
      </c>
      <c r="B370" s="6" t="s">
        <v>87</v>
      </c>
      <c r="C370" s="10">
        <v>2.6564000000000001</v>
      </c>
      <c r="D370" s="6">
        <v>5</v>
      </c>
    </row>
    <row r="371" spans="1:4" ht="15" customHeight="1" x14ac:dyDescent="0.25">
      <c r="A371" s="14" t="s">
        <v>53</v>
      </c>
      <c r="B371" s="6" t="s">
        <v>87</v>
      </c>
      <c r="C371" s="10">
        <v>3.496</v>
      </c>
      <c r="D371" s="6">
        <v>10</v>
      </c>
    </row>
    <row r="372" spans="1:4" ht="15" customHeight="1" x14ac:dyDescent="0.25">
      <c r="A372" s="14" t="s">
        <v>448</v>
      </c>
      <c r="B372" s="6" t="s">
        <v>90</v>
      </c>
      <c r="C372" s="10">
        <v>3.7126999999999999</v>
      </c>
      <c r="D372" s="6">
        <v>10</v>
      </c>
    </row>
    <row r="373" spans="1:4" ht="15" customHeight="1" x14ac:dyDescent="0.25">
      <c r="A373" s="14" t="s">
        <v>449</v>
      </c>
      <c r="B373" s="6" t="s">
        <v>90</v>
      </c>
      <c r="C373" s="10">
        <v>3.5547</v>
      </c>
      <c r="D373" s="6">
        <v>10</v>
      </c>
    </row>
    <row r="374" spans="1:4" ht="15" customHeight="1" x14ac:dyDescent="0.25">
      <c r="A374" s="14" t="s">
        <v>450</v>
      </c>
      <c r="B374" s="6" t="s">
        <v>87</v>
      </c>
      <c r="C374" s="10">
        <v>2.6728000000000001</v>
      </c>
      <c r="D374" s="6">
        <v>9</v>
      </c>
    </row>
    <row r="375" spans="1:4" ht="15" customHeight="1" x14ac:dyDescent="0.25">
      <c r="A375" s="14" t="s">
        <v>451</v>
      </c>
      <c r="B375" s="6" t="s">
        <v>90</v>
      </c>
      <c r="C375" s="10">
        <v>3.41</v>
      </c>
      <c r="D375" s="6">
        <v>10</v>
      </c>
    </row>
    <row r="376" spans="1:4" ht="15" customHeight="1" x14ac:dyDescent="0.25">
      <c r="A376" s="14" t="s">
        <v>452</v>
      </c>
      <c r="B376" s="6" t="s">
        <v>90</v>
      </c>
      <c r="C376" s="10">
        <v>1.8829</v>
      </c>
      <c r="D376" s="6">
        <v>6</v>
      </c>
    </row>
    <row r="377" spans="1:4" ht="15" customHeight="1" x14ac:dyDescent="0.25">
      <c r="A377" s="14" t="s">
        <v>453</v>
      </c>
      <c r="B377" s="6" t="s">
        <v>87</v>
      </c>
      <c r="C377" s="10">
        <v>1.7869999999999999</v>
      </c>
      <c r="D377" s="6">
        <v>10</v>
      </c>
    </row>
    <row r="378" spans="1:4" ht="15" customHeight="1" x14ac:dyDescent="0.25">
      <c r="A378" s="14" t="s">
        <v>454</v>
      </c>
      <c r="B378" s="6" t="s">
        <v>90</v>
      </c>
      <c r="C378" s="10">
        <v>2.8677999999999999</v>
      </c>
      <c r="D378" s="6">
        <v>10</v>
      </c>
    </row>
    <row r="379" spans="1:4" ht="15" customHeight="1" x14ac:dyDescent="0.25">
      <c r="A379" s="14" t="s">
        <v>455</v>
      </c>
      <c r="B379" s="6" t="s">
        <v>87</v>
      </c>
      <c r="C379" s="10">
        <v>2.8875000000000002</v>
      </c>
      <c r="D379" s="6">
        <v>6</v>
      </c>
    </row>
    <row r="380" spans="1:4" ht="15" customHeight="1" x14ac:dyDescent="0.25">
      <c r="A380" s="14" t="s">
        <v>456</v>
      </c>
      <c r="B380" s="6" t="s">
        <v>90</v>
      </c>
      <c r="C380" s="10">
        <v>1.9539</v>
      </c>
      <c r="D380" s="6">
        <v>10</v>
      </c>
    </row>
    <row r="381" spans="1:4" ht="15" customHeight="1" x14ac:dyDescent="0.25">
      <c r="A381" s="14" t="s">
        <v>457</v>
      </c>
      <c r="B381" s="6" t="s">
        <v>90</v>
      </c>
      <c r="C381" s="10">
        <v>4.1361999999999997</v>
      </c>
      <c r="D381" s="6">
        <v>10</v>
      </c>
    </row>
    <row r="382" spans="1:4" ht="15" customHeight="1" x14ac:dyDescent="0.25">
      <c r="A382" s="14" t="s">
        <v>458</v>
      </c>
      <c r="B382" s="6" t="s">
        <v>90</v>
      </c>
      <c r="C382" s="10">
        <v>1.6626000000000001</v>
      </c>
      <c r="D382" s="6">
        <v>9</v>
      </c>
    </row>
    <row r="383" spans="1:4" ht="15" customHeight="1" x14ac:dyDescent="0.25">
      <c r="A383" s="14" t="s">
        <v>459</v>
      </c>
      <c r="B383" s="6" t="s">
        <v>90</v>
      </c>
      <c r="C383" s="10">
        <v>1.4599</v>
      </c>
      <c r="D383" s="6">
        <v>8</v>
      </c>
    </row>
    <row r="384" spans="1:4" ht="15" customHeight="1" x14ac:dyDescent="0.25">
      <c r="A384" s="14" t="s">
        <v>460</v>
      </c>
      <c r="B384" s="6" t="s">
        <v>87</v>
      </c>
      <c r="C384" s="10">
        <v>3.1819999999999999</v>
      </c>
      <c r="D384" s="6">
        <v>10</v>
      </c>
    </row>
    <row r="385" spans="1:4" ht="15" customHeight="1" x14ac:dyDescent="0.25">
      <c r="A385" s="14" t="s">
        <v>461</v>
      </c>
      <c r="B385" s="6" t="s">
        <v>90</v>
      </c>
      <c r="C385" s="10">
        <v>2.3106</v>
      </c>
      <c r="D385" s="6">
        <v>10</v>
      </c>
    </row>
    <row r="386" spans="1:4" ht="15" customHeight="1" x14ac:dyDescent="0.25">
      <c r="A386" s="14" t="s">
        <v>462</v>
      </c>
      <c r="B386" s="6" t="s">
        <v>90</v>
      </c>
      <c r="C386" s="10">
        <v>1.8665</v>
      </c>
      <c r="D386" s="6">
        <v>10</v>
      </c>
    </row>
    <row r="387" spans="1:4" ht="15" customHeight="1" x14ac:dyDescent="0.25">
      <c r="A387" s="14" t="s">
        <v>463</v>
      </c>
      <c r="B387" s="6" t="s">
        <v>90</v>
      </c>
      <c r="C387" s="10">
        <v>3.0038999999999998</v>
      </c>
      <c r="D387" s="6">
        <v>10</v>
      </c>
    </row>
    <row r="388" spans="1:4" ht="15" customHeight="1" x14ac:dyDescent="0.25">
      <c r="A388" s="14" t="s">
        <v>464</v>
      </c>
      <c r="B388" s="6" t="s">
        <v>87</v>
      </c>
      <c r="C388" s="10">
        <v>3.5167999999999999</v>
      </c>
      <c r="D388" s="6">
        <v>10</v>
      </c>
    </row>
    <row r="389" spans="1:4" ht="15" customHeight="1" x14ac:dyDescent="0.25">
      <c r="A389" s="14" t="s">
        <v>465</v>
      </c>
      <c r="B389" s="6" t="s">
        <v>90</v>
      </c>
      <c r="C389" s="10">
        <v>2.2723</v>
      </c>
      <c r="D389" s="6">
        <v>7</v>
      </c>
    </row>
    <row r="390" spans="1:4" ht="15" customHeight="1" x14ac:dyDescent="0.25">
      <c r="A390" s="14" t="s">
        <v>466</v>
      </c>
      <c r="B390" s="6" t="s">
        <v>90</v>
      </c>
      <c r="C390" s="10">
        <v>1.9012</v>
      </c>
      <c r="D390" s="6">
        <v>10</v>
      </c>
    </row>
    <row r="391" spans="1:4" ht="15" customHeight="1" x14ac:dyDescent="0.25">
      <c r="A391" s="14" t="s">
        <v>467</v>
      </c>
      <c r="B391" s="6" t="s">
        <v>90</v>
      </c>
      <c r="C391" s="10">
        <v>3.5127000000000002</v>
      </c>
      <c r="D391" s="6">
        <v>10</v>
      </c>
    </row>
    <row r="392" spans="1:4" ht="15" customHeight="1" x14ac:dyDescent="0.25">
      <c r="A392" s="14" t="s">
        <v>468</v>
      </c>
      <c r="B392" s="6" t="s">
        <v>87</v>
      </c>
      <c r="C392" s="10">
        <v>2.6391</v>
      </c>
      <c r="D392" s="6">
        <v>10</v>
      </c>
    </row>
    <row r="393" spans="1:4" ht="15" customHeight="1" x14ac:dyDescent="0.25">
      <c r="A393" s="14" t="s">
        <v>469</v>
      </c>
      <c r="B393" s="6" t="s">
        <v>87</v>
      </c>
      <c r="C393" s="10">
        <v>3.1166</v>
      </c>
      <c r="D393" s="6">
        <v>10</v>
      </c>
    </row>
    <row r="394" spans="1:4" ht="15" customHeight="1" x14ac:dyDescent="0.25">
      <c r="A394" s="14" t="s">
        <v>470</v>
      </c>
      <c r="B394" s="6" t="s">
        <v>90</v>
      </c>
      <c r="C394" s="10">
        <v>2.4489000000000001</v>
      </c>
      <c r="D394" s="6">
        <v>6</v>
      </c>
    </row>
    <row r="395" spans="1:4" ht="15" customHeight="1" x14ac:dyDescent="0.25">
      <c r="A395" s="14" t="s">
        <v>471</v>
      </c>
      <c r="B395" s="6" t="s">
        <v>90</v>
      </c>
      <c r="C395" s="10">
        <v>2.4308999999999998</v>
      </c>
      <c r="D395" s="6">
        <v>9</v>
      </c>
    </row>
    <row r="396" spans="1:4" ht="15" customHeight="1" x14ac:dyDescent="0.25">
      <c r="A396" s="14" t="s">
        <v>472</v>
      </c>
      <c r="B396" s="6" t="s">
        <v>90</v>
      </c>
      <c r="C396" s="10">
        <v>4.1032999999999999</v>
      </c>
      <c r="D396" s="6">
        <v>7</v>
      </c>
    </row>
    <row r="397" spans="1:4" ht="15" customHeight="1" x14ac:dyDescent="0.25">
      <c r="A397" s="14" t="s">
        <v>473</v>
      </c>
      <c r="B397" s="6" t="s">
        <v>90</v>
      </c>
      <c r="C397" s="10">
        <v>2.714</v>
      </c>
      <c r="D397" s="6">
        <v>10</v>
      </c>
    </row>
    <row r="398" spans="1:4" ht="15" customHeight="1" x14ac:dyDescent="0.25">
      <c r="A398" s="14" t="s">
        <v>474</v>
      </c>
      <c r="B398" s="6" t="s">
        <v>87</v>
      </c>
      <c r="C398" s="10">
        <v>1.3944000000000001</v>
      </c>
      <c r="D398" s="6">
        <v>10</v>
      </c>
    </row>
    <row r="399" spans="1:4" ht="15" customHeight="1" x14ac:dyDescent="0.25">
      <c r="A399" s="14" t="s">
        <v>475</v>
      </c>
      <c r="B399" s="6" t="s">
        <v>90</v>
      </c>
      <c r="C399" s="10">
        <v>2.5636999999999999</v>
      </c>
      <c r="D399" s="6">
        <v>7</v>
      </c>
    </row>
    <row r="400" spans="1:4" ht="15" customHeight="1" x14ac:dyDescent="0.25">
      <c r="A400" s="14" t="s">
        <v>476</v>
      </c>
      <c r="B400" s="6" t="s">
        <v>90</v>
      </c>
      <c r="C400" s="10">
        <v>2.2263000000000002</v>
      </c>
      <c r="D400" s="6">
        <v>10</v>
      </c>
    </row>
    <row r="401" spans="1:4" ht="15" customHeight="1" x14ac:dyDescent="0.25">
      <c r="A401" s="14" t="s">
        <v>477</v>
      </c>
      <c r="B401" s="6" t="s">
        <v>87</v>
      </c>
      <c r="C401" s="10">
        <v>0.9073</v>
      </c>
      <c r="D401" s="6">
        <v>10</v>
      </c>
    </row>
    <row r="402" spans="1:4" ht="15" customHeight="1" x14ac:dyDescent="0.25">
      <c r="A402" s="14" t="s">
        <v>478</v>
      </c>
      <c r="B402" s="6" t="s">
        <v>90</v>
      </c>
      <c r="C402" s="10">
        <v>3.7435999999999998</v>
      </c>
      <c r="D402" s="6">
        <v>10</v>
      </c>
    </row>
    <row r="403" spans="1:4" ht="15" customHeight="1" x14ac:dyDescent="0.25">
      <c r="A403" s="14" t="s">
        <v>479</v>
      </c>
      <c r="B403" s="6" t="s">
        <v>90</v>
      </c>
      <c r="C403" s="10">
        <v>2.2797999999999998</v>
      </c>
      <c r="D403" s="6">
        <v>10</v>
      </c>
    </row>
    <row r="404" spans="1:4" ht="15" customHeight="1" x14ac:dyDescent="0.25">
      <c r="A404" s="14" t="s">
        <v>480</v>
      </c>
      <c r="B404" s="6" t="s">
        <v>87</v>
      </c>
      <c r="C404" s="10">
        <v>3.2945000000000002</v>
      </c>
      <c r="D404" s="6">
        <v>5</v>
      </c>
    </row>
    <row r="405" spans="1:4" ht="15" customHeight="1" x14ac:dyDescent="0.25">
      <c r="A405" s="14" t="s">
        <v>481</v>
      </c>
      <c r="B405" s="6" t="s">
        <v>90</v>
      </c>
      <c r="C405" s="10">
        <v>2.7155999999999998</v>
      </c>
      <c r="D405" s="6">
        <v>10</v>
      </c>
    </row>
    <row r="406" spans="1:4" ht="15" customHeight="1" x14ac:dyDescent="0.25">
      <c r="A406" s="14" t="s">
        <v>482</v>
      </c>
      <c r="B406" s="6" t="s">
        <v>90</v>
      </c>
      <c r="C406" s="10">
        <v>1.8255999999999999</v>
      </c>
      <c r="D406" s="6">
        <v>10</v>
      </c>
    </row>
    <row r="407" spans="1:4" ht="15" customHeight="1" x14ac:dyDescent="0.25">
      <c r="A407" s="14" t="s">
        <v>483</v>
      </c>
      <c r="B407" s="6" t="s">
        <v>90</v>
      </c>
      <c r="C407" s="10">
        <v>2.8096000000000001</v>
      </c>
      <c r="D407" s="6">
        <v>10</v>
      </c>
    </row>
    <row r="408" spans="1:4" ht="15" customHeight="1" x14ac:dyDescent="0.25">
      <c r="A408" s="14" t="s">
        <v>484</v>
      </c>
      <c r="B408" s="6" t="s">
        <v>90</v>
      </c>
      <c r="C408" s="10">
        <v>1.5750999999999999</v>
      </c>
      <c r="D408" s="6">
        <v>10</v>
      </c>
    </row>
    <row r="409" spans="1:4" ht="15" customHeight="1" x14ac:dyDescent="0.25">
      <c r="A409" s="14" t="s">
        <v>485</v>
      </c>
      <c r="B409" s="6" t="s">
        <v>90</v>
      </c>
      <c r="C409" s="10">
        <v>3.3826000000000001</v>
      </c>
      <c r="D409" s="6">
        <v>10</v>
      </c>
    </row>
    <row r="410" spans="1:4" ht="15" customHeight="1" x14ac:dyDescent="0.25">
      <c r="A410" s="14" t="s">
        <v>486</v>
      </c>
      <c r="B410" s="6" t="s">
        <v>90</v>
      </c>
      <c r="C410" s="10">
        <v>3.0110999999999999</v>
      </c>
      <c r="D410" s="6">
        <v>10</v>
      </c>
    </row>
    <row r="411" spans="1:4" ht="15" customHeight="1" x14ac:dyDescent="0.25">
      <c r="A411" s="14" t="s">
        <v>487</v>
      </c>
      <c r="B411" s="6" t="s">
        <v>87</v>
      </c>
      <c r="C411" s="10">
        <v>3.2528999999999999</v>
      </c>
      <c r="D411" s="6">
        <v>8</v>
      </c>
    </row>
    <row r="412" spans="1:4" ht="15" customHeight="1" x14ac:dyDescent="0.25">
      <c r="A412" s="14" t="s">
        <v>488</v>
      </c>
      <c r="B412" s="6" t="s">
        <v>87</v>
      </c>
      <c r="C412" s="10">
        <v>3.262</v>
      </c>
      <c r="D412" s="6">
        <v>7</v>
      </c>
    </row>
    <row r="413" spans="1:4" ht="15" customHeight="1" x14ac:dyDescent="0.25">
      <c r="A413" s="14" t="s">
        <v>489</v>
      </c>
      <c r="B413" s="6" t="s">
        <v>87</v>
      </c>
      <c r="C413" s="10">
        <v>2.8435999999999999</v>
      </c>
      <c r="D413" s="6">
        <v>10</v>
      </c>
    </row>
    <row r="414" spans="1:4" ht="15" customHeight="1" x14ac:dyDescent="0.25">
      <c r="A414" s="14" t="s">
        <v>490</v>
      </c>
      <c r="B414" s="6" t="s">
        <v>90</v>
      </c>
      <c r="C414" s="10">
        <v>1.7163999999999999</v>
      </c>
      <c r="D414" s="6">
        <v>10</v>
      </c>
    </row>
    <row r="415" spans="1:4" ht="15" customHeight="1" x14ac:dyDescent="0.25">
      <c r="A415" s="14" t="s">
        <v>491</v>
      </c>
      <c r="B415" s="6" t="s">
        <v>90</v>
      </c>
      <c r="C415" s="10">
        <v>3.0105</v>
      </c>
      <c r="D415" s="6">
        <v>10</v>
      </c>
    </row>
    <row r="416" spans="1:4" ht="15" customHeight="1" x14ac:dyDescent="0.25">
      <c r="A416" s="14" t="s">
        <v>492</v>
      </c>
      <c r="B416" s="6" t="s">
        <v>90</v>
      </c>
      <c r="C416" s="10">
        <v>1.0209999999999999</v>
      </c>
      <c r="D416" s="6">
        <v>10</v>
      </c>
    </row>
    <row r="417" spans="1:4" ht="15" customHeight="1" x14ac:dyDescent="0.25">
      <c r="A417" s="14" t="s">
        <v>493</v>
      </c>
      <c r="B417" s="6" t="s">
        <v>90</v>
      </c>
      <c r="C417" s="10">
        <v>1.6615</v>
      </c>
      <c r="D417" s="6">
        <v>10</v>
      </c>
    </row>
    <row r="418" spans="1:4" ht="15" customHeight="1" x14ac:dyDescent="0.25">
      <c r="A418" s="14" t="s">
        <v>494</v>
      </c>
      <c r="B418" s="6" t="s">
        <v>87</v>
      </c>
      <c r="C418" s="10">
        <v>2.0825</v>
      </c>
      <c r="D418" s="6">
        <v>10</v>
      </c>
    </row>
    <row r="419" spans="1:4" ht="15" customHeight="1" x14ac:dyDescent="0.25">
      <c r="A419" s="14" t="s">
        <v>495</v>
      </c>
      <c r="B419" s="6" t="s">
        <v>90</v>
      </c>
      <c r="C419" s="10">
        <v>4.1325000000000003</v>
      </c>
      <c r="D419" s="6">
        <v>10</v>
      </c>
    </row>
    <row r="420" spans="1:4" ht="15" customHeight="1" x14ac:dyDescent="0.25">
      <c r="A420" s="14" t="s">
        <v>496</v>
      </c>
      <c r="B420" s="6" t="s">
        <v>87</v>
      </c>
      <c r="C420" s="10">
        <v>2.2359</v>
      </c>
      <c r="D420" s="6">
        <v>10</v>
      </c>
    </row>
    <row r="421" spans="1:4" ht="15" customHeight="1" x14ac:dyDescent="0.25">
      <c r="A421" s="14" t="s">
        <v>497</v>
      </c>
      <c r="B421" s="6" t="s">
        <v>87</v>
      </c>
      <c r="C421" s="10">
        <v>1.8124</v>
      </c>
      <c r="D421" s="6">
        <v>6</v>
      </c>
    </row>
    <row r="422" spans="1:4" ht="15" customHeight="1" x14ac:dyDescent="0.25">
      <c r="A422" s="14" t="s">
        <v>498</v>
      </c>
      <c r="B422" s="6" t="s">
        <v>90</v>
      </c>
      <c r="C422" s="10">
        <v>2.0783999999999998</v>
      </c>
      <c r="D422" s="6">
        <v>10</v>
      </c>
    </row>
    <row r="423" spans="1:4" ht="15" customHeight="1" x14ac:dyDescent="0.25">
      <c r="A423" s="14" t="s">
        <v>499</v>
      </c>
      <c r="B423" s="6" t="s">
        <v>90</v>
      </c>
      <c r="C423" s="10">
        <v>2.9350000000000001</v>
      </c>
      <c r="D423" s="6">
        <v>9</v>
      </c>
    </row>
    <row r="424" spans="1:4" ht="15" customHeight="1" x14ac:dyDescent="0.25">
      <c r="A424" s="14" t="s">
        <v>500</v>
      </c>
      <c r="B424" s="6" t="s">
        <v>87</v>
      </c>
      <c r="C424" s="10">
        <v>1.7992999999999999</v>
      </c>
      <c r="D424" s="6">
        <v>7</v>
      </c>
    </row>
    <row r="425" spans="1:4" ht="15" customHeight="1" x14ac:dyDescent="0.25">
      <c r="A425" s="14" t="s">
        <v>501</v>
      </c>
      <c r="B425" s="6" t="s">
        <v>87</v>
      </c>
      <c r="C425" s="10">
        <v>2.7784</v>
      </c>
      <c r="D425" s="6">
        <v>10</v>
      </c>
    </row>
    <row r="426" spans="1:4" ht="15" customHeight="1" x14ac:dyDescent="0.25">
      <c r="A426" s="14" t="s">
        <v>502</v>
      </c>
      <c r="B426" s="6" t="s">
        <v>90</v>
      </c>
      <c r="C426" s="10">
        <v>1.3048999999999999</v>
      </c>
      <c r="D426" s="6">
        <v>7</v>
      </c>
    </row>
    <row r="427" spans="1:4" ht="15" customHeight="1" x14ac:dyDescent="0.25">
      <c r="A427" s="14" t="s">
        <v>503</v>
      </c>
      <c r="B427" s="6" t="s">
        <v>90</v>
      </c>
      <c r="C427" s="10">
        <v>1.6307</v>
      </c>
      <c r="D427" s="6">
        <v>10</v>
      </c>
    </row>
    <row r="428" spans="1:4" ht="15" customHeight="1" x14ac:dyDescent="0.25">
      <c r="A428" s="14" t="s">
        <v>504</v>
      </c>
      <c r="B428" s="6" t="s">
        <v>90</v>
      </c>
      <c r="C428" s="10">
        <v>4.2606999999999999</v>
      </c>
      <c r="D428" s="6">
        <v>10</v>
      </c>
    </row>
    <row r="429" spans="1:4" ht="15" customHeight="1" x14ac:dyDescent="0.25">
      <c r="A429" s="14" t="s">
        <v>505</v>
      </c>
      <c r="B429" s="6" t="s">
        <v>90</v>
      </c>
      <c r="C429" s="10">
        <v>3.1343000000000001</v>
      </c>
      <c r="D429" s="6">
        <v>6</v>
      </c>
    </row>
    <row r="430" spans="1:4" ht="15" customHeight="1" x14ac:dyDescent="0.25">
      <c r="A430" s="14" t="s">
        <v>506</v>
      </c>
      <c r="B430" s="6" t="s">
        <v>90</v>
      </c>
      <c r="C430" s="10">
        <v>1.2767999999999999</v>
      </c>
      <c r="D430" s="6">
        <v>10</v>
      </c>
    </row>
    <row r="431" spans="1:4" ht="15" customHeight="1" x14ac:dyDescent="0.25">
      <c r="A431" s="14" t="s">
        <v>507</v>
      </c>
      <c r="B431" s="6" t="s">
        <v>90</v>
      </c>
      <c r="C431" s="10">
        <v>4.4999000000000002</v>
      </c>
      <c r="D431" s="6">
        <v>10</v>
      </c>
    </row>
    <row r="432" spans="1:4" ht="15" customHeight="1" x14ac:dyDescent="0.25">
      <c r="A432" s="14" t="s">
        <v>508</v>
      </c>
      <c r="B432" s="6" t="s">
        <v>87</v>
      </c>
      <c r="C432" s="10">
        <v>2.0998999999999999</v>
      </c>
      <c r="D432" s="6">
        <v>10</v>
      </c>
    </row>
    <row r="433" spans="1:4" ht="15" customHeight="1" x14ac:dyDescent="0.25">
      <c r="A433" s="14" t="s">
        <v>509</v>
      </c>
      <c r="B433" s="6" t="s">
        <v>90</v>
      </c>
      <c r="C433" s="10">
        <v>2.2879</v>
      </c>
      <c r="D433" s="6">
        <v>10</v>
      </c>
    </row>
    <row r="434" spans="1:4" ht="15" customHeight="1" x14ac:dyDescent="0.25">
      <c r="A434" s="14" t="s">
        <v>510</v>
      </c>
      <c r="B434" s="6" t="s">
        <v>90</v>
      </c>
      <c r="C434" s="10">
        <v>2.0994999999999999</v>
      </c>
      <c r="D434" s="6">
        <v>10</v>
      </c>
    </row>
    <row r="435" spans="1:4" ht="15" customHeight="1" x14ac:dyDescent="0.25">
      <c r="A435" s="14" t="s">
        <v>511</v>
      </c>
      <c r="B435" s="6" t="s">
        <v>90</v>
      </c>
      <c r="C435" s="10">
        <v>2.6351</v>
      </c>
      <c r="D435" s="6">
        <v>10</v>
      </c>
    </row>
    <row r="436" spans="1:4" ht="15" customHeight="1" x14ac:dyDescent="0.25">
      <c r="A436" s="14" t="s">
        <v>512</v>
      </c>
      <c r="B436" s="6" t="s">
        <v>90</v>
      </c>
      <c r="C436" s="10">
        <v>2.2669999999999999</v>
      </c>
      <c r="D436" s="6">
        <v>5</v>
      </c>
    </row>
    <row r="437" spans="1:4" ht="15" customHeight="1" x14ac:dyDescent="0.25">
      <c r="A437" s="14" t="s">
        <v>513</v>
      </c>
      <c r="B437" s="6" t="s">
        <v>90</v>
      </c>
      <c r="C437" s="10">
        <v>3.0876000000000001</v>
      </c>
      <c r="D437" s="6">
        <v>10</v>
      </c>
    </row>
    <row r="438" spans="1:4" ht="15" customHeight="1" x14ac:dyDescent="0.25">
      <c r="A438" s="14" t="s">
        <v>514</v>
      </c>
      <c r="B438" s="6" t="s">
        <v>90</v>
      </c>
      <c r="C438" s="10">
        <v>1.4343999999999999</v>
      </c>
      <c r="D438" s="6">
        <v>10</v>
      </c>
    </row>
    <row r="439" spans="1:4" ht="15" customHeight="1" x14ac:dyDescent="0.25">
      <c r="A439" s="14" t="s">
        <v>515</v>
      </c>
      <c r="B439" s="6" t="s">
        <v>90</v>
      </c>
      <c r="C439" s="10">
        <v>2.4392</v>
      </c>
      <c r="D439" s="6">
        <v>10</v>
      </c>
    </row>
    <row r="440" spans="1:4" ht="15" customHeight="1" x14ac:dyDescent="0.25">
      <c r="A440" s="14" t="s">
        <v>516</v>
      </c>
      <c r="B440" s="6" t="s">
        <v>90</v>
      </c>
      <c r="C440" s="10">
        <v>3.0209000000000001</v>
      </c>
      <c r="D440" s="6">
        <v>10</v>
      </c>
    </row>
    <row r="441" spans="1:4" ht="15" customHeight="1" x14ac:dyDescent="0.25">
      <c r="A441" s="14" t="s">
        <v>517</v>
      </c>
      <c r="B441" s="6" t="s">
        <v>90</v>
      </c>
      <c r="C441" s="10">
        <v>3.0276000000000001</v>
      </c>
      <c r="D441" s="6">
        <v>10</v>
      </c>
    </row>
    <row r="442" spans="1:4" ht="15" customHeight="1" x14ac:dyDescent="0.25">
      <c r="A442" s="14" t="s">
        <v>518</v>
      </c>
      <c r="B442" s="6" t="s">
        <v>90</v>
      </c>
      <c r="C442" s="10">
        <v>3.1932</v>
      </c>
      <c r="D442" s="6">
        <v>5</v>
      </c>
    </row>
    <row r="443" spans="1:4" ht="15" customHeight="1" x14ac:dyDescent="0.25">
      <c r="A443" s="14" t="s">
        <v>519</v>
      </c>
      <c r="B443" s="6" t="s">
        <v>90</v>
      </c>
      <c r="C443" s="10">
        <v>1.96</v>
      </c>
      <c r="D443" s="6">
        <v>10</v>
      </c>
    </row>
    <row r="444" spans="1:4" ht="15" customHeight="1" x14ac:dyDescent="0.25">
      <c r="A444" s="14" t="s">
        <v>520</v>
      </c>
      <c r="B444" s="6" t="s">
        <v>90</v>
      </c>
      <c r="C444" s="10">
        <v>1.4386000000000001</v>
      </c>
      <c r="D444" s="6">
        <v>10</v>
      </c>
    </row>
    <row r="445" spans="1:4" ht="15" customHeight="1" x14ac:dyDescent="0.25">
      <c r="A445" s="14" t="s">
        <v>521</v>
      </c>
      <c r="B445" s="6" t="s">
        <v>90</v>
      </c>
      <c r="C445" s="10">
        <v>4.0006000000000004</v>
      </c>
      <c r="D445" s="6">
        <v>10</v>
      </c>
    </row>
    <row r="446" spans="1:4" ht="15" customHeight="1" x14ac:dyDescent="0.25">
      <c r="A446" s="14" t="s">
        <v>522</v>
      </c>
      <c r="B446" s="6" t="s">
        <v>90</v>
      </c>
      <c r="C446" s="10">
        <v>2.0731999999999999</v>
      </c>
      <c r="D446" s="6">
        <v>10</v>
      </c>
    </row>
    <row r="447" spans="1:4" ht="15" customHeight="1" x14ac:dyDescent="0.25">
      <c r="A447" s="14" t="s">
        <v>38</v>
      </c>
      <c r="B447" s="6" t="s">
        <v>90</v>
      </c>
      <c r="C447" s="10">
        <v>3.0329999999999999</v>
      </c>
      <c r="D447" s="6">
        <v>7</v>
      </c>
    </row>
    <row r="448" spans="1:4" ht="15" customHeight="1" x14ac:dyDescent="0.25">
      <c r="A448" s="14" t="s">
        <v>523</v>
      </c>
      <c r="B448" s="6" t="s">
        <v>90</v>
      </c>
      <c r="C448" s="10">
        <v>1.4519</v>
      </c>
      <c r="D448" s="6">
        <v>10</v>
      </c>
    </row>
    <row r="449" spans="1:4" ht="15" customHeight="1" x14ac:dyDescent="0.25">
      <c r="A449" s="14" t="s">
        <v>524</v>
      </c>
      <c r="B449" s="6" t="s">
        <v>90</v>
      </c>
      <c r="C449" s="10">
        <v>2.9708000000000001</v>
      </c>
      <c r="D449" s="6">
        <v>10</v>
      </c>
    </row>
    <row r="450" spans="1:4" ht="15" customHeight="1" x14ac:dyDescent="0.25">
      <c r="A450" s="14" t="s">
        <v>525</v>
      </c>
      <c r="B450" s="6" t="s">
        <v>90</v>
      </c>
      <c r="C450" s="10">
        <v>2.0186000000000002</v>
      </c>
      <c r="D450" s="6">
        <v>10</v>
      </c>
    </row>
    <row r="451" spans="1:4" ht="15" customHeight="1" x14ac:dyDescent="0.25">
      <c r="A451" s="14" t="s">
        <v>526</v>
      </c>
      <c r="B451" s="6" t="s">
        <v>90</v>
      </c>
      <c r="C451" s="10">
        <v>2.6392000000000002</v>
      </c>
      <c r="D451" s="6">
        <v>10</v>
      </c>
    </row>
    <row r="452" spans="1:4" ht="15" customHeight="1" x14ac:dyDescent="0.25">
      <c r="A452" s="14" t="s">
        <v>527</v>
      </c>
      <c r="B452" s="6" t="s">
        <v>90</v>
      </c>
      <c r="C452" s="10">
        <v>3.0057</v>
      </c>
      <c r="D452" s="6">
        <v>5</v>
      </c>
    </row>
    <row r="453" spans="1:4" ht="15" customHeight="1" x14ac:dyDescent="0.25">
      <c r="A453" s="14" t="s">
        <v>28</v>
      </c>
      <c r="B453" s="6" t="s">
        <v>87</v>
      </c>
      <c r="C453" s="10">
        <v>2.6564999999999999</v>
      </c>
      <c r="D453" s="6">
        <v>10</v>
      </c>
    </row>
    <row r="454" spans="1:4" ht="15" customHeight="1" x14ac:dyDescent="0.25">
      <c r="A454" s="14" t="s">
        <v>528</v>
      </c>
      <c r="B454" s="6" t="s">
        <v>90</v>
      </c>
      <c r="C454" s="10">
        <v>2.1555</v>
      </c>
      <c r="D454" s="6">
        <v>10</v>
      </c>
    </row>
    <row r="455" spans="1:4" ht="15" customHeight="1" x14ac:dyDescent="0.25">
      <c r="A455" s="14" t="s">
        <v>529</v>
      </c>
      <c r="B455" s="6" t="s">
        <v>87</v>
      </c>
      <c r="C455" s="10">
        <v>1.6453</v>
      </c>
      <c r="D455" s="6">
        <v>7</v>
      </c>
    </row>
    <row r="456" spans="1:4" ht="15" customHeight="1" x14ac:dyDescent="0.25">
      <c r="A456" s="14" t="s">
        <v>530</v>
      </c>
      <c r="B456" s="6" t="s">
        <v>90</v>
      </c>
      <c r="C456" s="10">
        <v>5.24</v>
      </c>
      <c r="D456" s="6">
        <v>10</v>
      </c>
    </row>
    <row r="457" spans="1:4" ht="15" customHeight="1" x14ac:dyDescent="0.25">
      <c r="A457" s="14" t="s">
        <v>531</v>
      </c>
      <c r="B457" s="6" t="s">
        <v>90</v>
      </c>
      <c r="C457" s="10">
        <v>1.9038999999999999</v>
      </c>
      <c r="D457" s="6">
        <v>10</v>
      </c>
    </row>
    <row r="458" spans="1:4" ht="15" customHeight="1" x14ac:dyDescent="0.25">
      <c r="A458" s="14" t="s">
        <v>532</v>
      </c>
      <c r="B458" s="6" t="s">
        <v>87</v>
      </c>
      <c r="C458" s="10">
        <v>1.7136</v>
      </c>
      <c r="D458" s="6">
        <v>10</v>
      </c>
    </row>
    <row r="459" spans="1:4" ht="15" customHeight="1" x14ac:dyDescent="0.25">
      <c r="A459" s="14" t="s">
        <v>533</v>
      </c>
      <c r="B459" s="6" t="s">
        <v>90</v>
      </c>
      <c r="C459" s="10">
        <v>0.83860000000000001</v>
      </c>
      <c r="D459" s="6">
        <v>6</v>
      </c>
    </row>
    <row r="460" spans="1:4" ht="15" customHeight="1" x14ac:dyDescent="0.25">
      <c r="A460" s="14" t="s">
        <v>534</v>
      </c>
      <c r="B460" s="6" t="s">
        <v>90</v>
      </c>
      <c r="C460" s="10">
        <v>3.4668999999999999</v>
      </c>
      <c r="D460" s="6">
        <v>9</v>
      </c>
    </row>
    <row r="461" spans="1:4" ht="15" customHeight="1" x14ac:dyDescent="0.25">
      <c r="A461" s="14" t="s">
        <v>535</v>
      </c>
      <c r="B461" s="6" t="s">
        <v>87</v>
      </c>
      <c r="C461" s="10">
        <v>3.3915000000000002</v>
      </c>
      <c r="D461" s="6">
        <v>7</v>
      </c>
    </row>
    <row r="462" spans="1:4" ht="15" customHeight="1" x14ac:dyDescent="0.25">
      <c r="A462" s="14" t="s">
        <v>536</v>
      </c>
      <c r="B462" s="6" t="s">
        <v>90</v>
      </c>
      <c r="C462" s="10">
        <v>1.6049</v>
      </c>
      <c r="D462" s="6">
        <v>10</v>
      </c>
    </row>
    <row r="463" spans="1:4" ht="15" customHeight="1" x14ac:dyDescent="0.25">
      <c r="A463" s="14" t="s">
        <v>537</v>
      </c>
      <c r="B463" s="6" t="s">
        <v>90</v>
      </c>
      <c r="C463" s="10">
        <v>1.1451</v>
      </c>
      <c r="D463" s="6">
        <v>10</v>
      </c>
    </row>
    <row r="464" spans="1:4" ht="15" customHeight="1" x14ac:dyDescent="0.25">
      <c r="A464" s="14" t="s">
        <v>538</v>
      </c>
      <c r="B464" s="6" t="s">
        <v>90</v>
      </c>
      <c r="C464" s="10">
        <v>3.7658</v>
      </c>
      <c r="D464" s="6">
        <v>10</v>
      </c>
    </row>
    <row r="465" spans="1:4" ht="15" customHeight="1" x14ac:dyDescent="0.25">
      <c r="A465" s="14" t="s">
        <v>539</v>
      </c>
      <c r="B465" s="6" t="s">
        <v>90</v>
      </c>
      <c r="C465" s="10">
        <v>1.5868</v>
      </c>
      <c r="D465" s="6">
        <v>10</v>
      </c>
    </row>
    <row r="466" spans="1:4" ht="15" customHeight="1" x14ac:dyDescent="0.25">
      <c r="A466" s="14" t="s">
        <v>540</v>
      </c>
      <c r="B466" s="6" t="s">
        <v>90</v>
      </c>
      <c r="C466" s="10">
        <v>1.9472</v>
      </c>
      <c r="D466" s="6">
        <v>10</v>
      </c>
    </row>
    <row r="467" spans="1:4" ht="15" customHeight="1" x14ac:dyDescent="0.25">
      <c r="A467" s="14" t="s">
        <v>541</v>
      </c>
      <c r="B467" s="6" t="s">
        <v>90</v>
      </c>
      <c r="C467" s="10">
        <v>1.3893</v>
      </c>
      <c r="D467" s="6">
        <v>5</v>
      </c>
    </row>
    <row r="468" spans="1:4" ht="15" customHeight="1" x14ac:dyDescent="0.25">
      <c r="A468" s="14" t="s">
        <v>542</v>
      </c>
      <c r="B468" s="6" t="s">
        <v>90</v>
      </c>
      <c r="C468" s="10">
        <v>2.7139000000000002</v>
      </c>
      <c r="D468" s="6">
        <v>10</v>
      </c>
    </row>
    <row r="469" spans="1:4" ht="15" customHeight="1" x14ac:dyDescent="0.25">
      <c r="A469" s="14" t="s">
        <v>543</v>
      </c>
      <c r="B469" s="6" t="s">
        <v>87</v>
      </c>
      <c r="C469" s="10">
        <v>1.5051000000000001</v>
      </c>
      <c r="D469" s="6">
        <v>10</v>
      </c>
    </row>
    <row r="470" spans="1:4" ht="15" customHeight="1" x14ac:dyDescent="0.25">
      <c r="A470" s="14" t="s">
        <v>544</v>
      </c>
      <c r="B470" s="6" t="s">
        <v>87</v>
      </c>
      <c r="C470" s="10">
        <v>2.2953000000000001</v>
      </c>
      <c r="D470" s="6">
        <v>10</v>
      </c>
    </row>
    <row r="471" spans="1:4" ht="15" customHeight="1" x14ac:dyDescent="0.25">
      <c r="A471" s="14" t="s">
        <v>545</v>
      </c>
      <c r="B471" s="6" t="s">
        <v>90</v>
      </c>
      <c r="C471" s="10">
        <v>3.0049000000000001</v>
      </c>
      <c r="D471" s="6">
        <v>10</v>
      </c>
    </row>
    <row r="472" spans="1:4" ht="15" customHeight="1" x14ac:dyDescent="0.25">
      <c r="A472" s="14" t="s">
        <v>546</v>
      </c>
      <c r="B472" s="6" t="s">
        <v>87</v>
      </c>
      <c r="C472" s="10">
        <v>2.2002000000000002</v>
      </c>
      <c r="D472" s="6">
        <v>10</v>
      </c>
    </row>
    <row r="473" spans="1:4" ht="15" customHeight="1" x14ac:dyDescent="0.25">
      <c r="A473" s="14" t="s">
        <v>547</v>
      </c>
      <c r="B473" s="6" t="s">
        <v>90</v>
      </c>
      <c r="C473" s="10">
        <v>1.5513999999999999</v>
      </c>
      <c r="D473" s="6">
        <v>5</v>
      </c>
    </row>
    <row r="474" spans="1:4" ht="15" customHeight="1" x14ac:dyDescent="0.25">
      <c r="A474" s="14" t="s">
        <v>548</v>
      </c>
      <c r="B474" s="6" t="s">
        <v>87</v>
      </c>
      <c r="C474" s="10">
        <v>3.4228000000000001</v>
      </c>
      <c r="D474" s="6">
        <v>10</v>
      </c>
    </row>
    <row r="475" spans="1:4" ht="15" customHeight="1" x14ac:dyDescent="0.25">
      <c r="A475" s="14" t="s">
        <v>549</v>
      </c>
      <c r="B475" s="6" t="s">
        <v>90</v>
      </c>
      <c r="C475" s="10">
        <v>1.929</v>
      </c>
      <c r="D475" s="6">
        <v>5</v>
      </c>
    </row>
    <row r="476" spans="1:4" ht="15" customHeight="1" x14ac:dyDescent="0.25">
      <c r="A476" s="14" t="s">
        <v>55</v>
      </c>
      <c r="B476" s="6" t="s">
        <v>90</v>
      </c>
      <c r="C476" s="10">
        <v>2.8403</v>
      </c>
      <c r="D476" s="6">
        <v>10</v>
      </c>
    </row>
    <row r="477" spans="1:4" ht="15" customHeight="1" x14ac:dyDescent="0.25">
      <c r="A477" s="14" t="s">
        <v>550</v>
      </c>
      <c r="B477" s="6" t="s">
        <v>90</v>
      </c>
      <c r="C477" s="10">
        <v>2.3464</v>
      </c>
      <c r="D477" s="6">
        <v>10</v>
      </c>
    </row>
    <row r="478" spans="1:4" ht="15" customHeight="1" x14ac:dyDescent="0.25">
      <c r="A478" s="14" t="s">
        <v>551</v>
      </c>
      <c r="B478" s="6" t="s">
        <v>90</v>
      </c>
      <c r="C478" s="10">
        <v>2.4992000000000001</v>
      </c>
      <c r="D478" s="6">
        <v>5</v>
      </c>
    </row>
    <row r="479" spans="1:4" ht="15" customHeight="1" x14ac:dyDescent="0.25">
      <c r="A479" s="14" t="s">
        <v>552</v>
      </c>
      <c r="B479" s="6" t="s">
        <v>90</v>
      </c>
      <c r="C479" s="10">
        <v>2.6949000000000001</v>
      </c>
      <c r="D479" s="6">
        <v>10</v>
      </c>
    </row>
    <row r="480" spans="1:4" ht="15" customHeight="1" x14ac:dyDescent="0.25">
      <c r="A480" s="14" t="s">
        <v>553</v>
      </c>
      <c r="B480" s="6" t="s">
        <v>90</v>
      </c>
      <c r="C480" s="10">
        <v>3.7208000000000001</v>
      </c>
      <c r="D480" s="6">
        <v>8</v>
      </c>
    </row>
    <row r="481" spans="1:4" ht="15" customHeight="1" x14ac:dyDescent="0.25">
      <c r="A481" s="14" t="s">
        <v>554</v>
      </c>
      <c r="B481" s="6" t="s">
        <v>90</v>
      </c>
      <c r="C481" s="10">
        <v>2.8885999999999998</v>
      </c>
      <c r="D481" s="6">
        <v>10</v>
      </c>
    </row>
    <row r="482" spans="1:4" ht="15" customHeight="1" x14ac:dyDescent="0.25">
      <c r="A482" s="14" t="s">
        <v>555</v>
      </c>
      <c r="B482" s="6" t="s">
        <v>90</v>
      </c>
      <c r="C482" s="10">
        <v>2.3845999999999998</v>
      </c>
      <c r="D482" s="6">
        <v>10</v>
      </c>
    </row>
    <row r="483" spans="1:4" ht="15" customHeight="1" x14ac:dyDescent="0.25">
      <c r="A483" s="14" t="s">
        <v>556</v>
      </c>
      <c r="B483" s="6" t="s">
        <v>90</v>
      </c>
      <c r="C483" s="10">
        <v>1.8146</v>
      </c>
      <c r="D483" s="6">
        <v>10</v>
      </c>
    </row>
    <row r="484" spans="1:4" ht="15" customHeight="1" x14ac:dyDescent="0.25">
      <c r="A484" s="14" t="s">
        <v>557</v>
      </c>
      <c r="B484" s="6" t="s">
        <v>90</v>
      </c>
      <c r="C484" s="10">
        <v>2.355</v>
      </c>
      <c r="D484" s="6">
        <v>10</v>
      </c>
    </row>
    <row r="485" spans="1:4" ht="15" customHeight="1" x14ac:dyDescent="0.25">
      <c r="A485" s="14" t="s">
        <v>558</v>
      </c>
      <c r="B485" s="6" t="s">
        <v>90</v>
      </c>
      <c r="C485" s="10">
        <v>2.9352</v>
      </c>
      <c r="D485" s="6">
        <v>10</v>
      </c>
    </row>
    <row r="486" spans="1:4" ht="15" customHeight="1" x14ac:dyDescent="0.25">
      <c r="A486" s="14" t="s">
        <v>559</v>
      </c>
      <c r="B486" s="6" t="s">
        <v>90</v>
      </c>
      <c r="C486" s="10">
        <v>3.2303999999999999</v>
      </c>
      <c r="D486" s="6">
        <v>10</v>
      </c>
    </row>
    <row r="487" spans="1:4" ht="15" customHeight="1" x14ac:dyDescent="0.25">
      <c r="A487" s="14" t="s">
        <v>560</v>
      </c>
      <c r="B487" s="6" t="s">
        <v>90</v>
      </c>
      <c r="C487" s="10">
        <v>4.0989000000000004</v>
      </c>
      <c r="D487" s="6">
        <v>10</v>
      </c>
    </row>
    <row r="488" spans="1:4" ht="15" customHeight="1" x14ac:dyDescent="0.25">
      <c r="A488" s="14" t="s">
        <v>561</v>
      </c>
      <c r="B488" s="6" t="s">
        <v>90</v>
      </c>
      <c r="C488" s="10">
        <v>3.6705000000000001</v>
      </c>
      <c r="D488" s="6">
        <v>10</v>
      </c>
    </row>
    <row r="489" spans="1:4" ht="15" customHeight="1" x14ac:dyDescent="0.25">
      <c r="A489" s="14" t="s">
        <v>562</v>
      </c>
      <c r="B489" s="6" t="s">
        <v>90</v>
      </c>
      <c r="C489" s="10">
        <v>2.1019000000000001</v>
      </c>
      <c r="D489" s="6">
        <v>7</v>
      </c>
    </row>
    <row r="490" spans="1:4" ht="15" customHeight="1" x14ac:dyDescent="0.25">
      <c r="A490" s="14" t="s">
        <v>563</v>
      </c>
      <c r="B490" s="6" t="s">
        <v>90</v>
      </c>
      <c r="C490" s="10">
        <v>1.9535</v>
      </c>
      <c r="D490" s="6">
        <v>10</v>
      </c>
    </row>
    <row r="491" spans="1:4" ht="15" customHeight="1" x14ac:dyDescent="0.25">
      <c r="A491" s="14" t="s">
        <v>564</v>
      </c>
      <c r="B491" s="6" t="s">
        <v>90</v>
      </c>
      <c r="C491" s="10">
        <v>2.2187999999999999</v>
      </c>
      <c r="D491" s="6">
        <v>10</v>
      </c>
    </row>
    <row r="492" spans="1:4" ht="15" customHeight="1" x14ac:dyDescent="0.25">
      <c r="A492" s="14" t="s">
        <v>565</v>
      </c>
      <c r="B492" s="6" t="s">
        <v>90</v>
      </c>
      <c r="C492" s="10">
        <v>3.6105999999999998</v>
      </c>
      <c r="D492" s="6">
        <v>8</v>
      </c>
    </row>
    <row r="493" spans="1:4" ht="15" customHeight="1" x14ac:dyDescent="0.25">
      <c r="A493" s="14" t="s">
        <v>566</v>
      </c>
      <c r="B493" s="6" t="s">
        <v>90</v>
      </c>
      <c r="C493" s="10">
        <v>1.6538999999999999</v>
      </c>
      <c r="D493" s="6">
        <v>10</v>
      </c>
    </row>
    <row r="494" spans="1:4" ht="15" customHeight="1" x14ac:dyDescent="0.25">
      <c r="A494" s="14" t="s">
        <v>567</v>
      </c>
      <c r="B494" s="6" t="s">
        <v>90</v>
      </c>
      <c r="C494" s="10">
        <v>2.0994000000000002</v>
      </c>
      <c r="D494" s="6">
        <v>10</v>
      </c>
    </row>
    <row r="495" spans="1:4" ht="15" customHeight="1" x14ac:dyDescent="0.25">
      <c r="A495" s="14" t="s">
        <v>568</v>
      </c>
      <c r="B495" s="6" t="s">
        <v>90</v>
      </c>
      <c r="C495" s="10">
        <v>1.988</v>
      </c>
      <c r="D495" s="6">
        <v>8</v>
      </c>
    </row>
    <row r="496" spans="1:4" ht="15" customHeight="1" x14ac:dyDescent="0.25">
      <c r="A496" s="14" t="s">
        <v>569</v>
      </c>
      <c r="B496" s="6" t="s">
        <v>90</v>
      </c>
      <c r="C496" s="10">
        <v>1.2690999999999999</v>
      </c>
      <c r="D496" s="6">
        <v>10</v>
      </c>
    </row>
    <row r="497" spans="1:4" ht="15" customHeight="1" x14ac:dyDescent="0.25">
      <c r="A497" s="14" t="s">
        <v>570</v>
      </c>
      <c r="B497" s="6" t="s">
        <v>90</v>
      </c>
      <c r="C497" s="10">
        <v>2.802</v>
      </c>
      <c r="D497" s="6">
        <v>10</v>
      </c>
    </row>
    <row r="498" spans="1:4" ht="15" customHeight="1" x14ac:dyDescent="0.25">
      <c r="A498" s="14" t="s">
        <v>571</v>
      </c>
      <c r="B498" s="6" t="s">
        <v>90</v>
      </c>
      <c r="C498" s="10">
        <v>2.7909000000000002</v>
      </c>
      <c r="D498" s="6">
        <v>10</v>
      </c>
    </row>
    <row r="499" spans="1:4" ht="15" customHeight="1" x14ac:dyDescent="0.25">
      <c r="A499" s="14" t="s">
        <v>572</v>
      </c>
      <c r="B499" s="6" t="s">
        <v>87</v>
      </c>
      <c r="C499" s="10">
        <v>2.4036</v>
      </c>
      <c r="D499" s="6">
        <v>10</v>
      </c>
    </row>
    <row r="500" spans="1:4" ht="15" customHeight="1" x14ac:dyDescent="0.25">
      <c r="A500" s="14" t="s">
        <v>573</v>
      </c>
      <c r="B500" s="6" t="s">
        <v>90</v>
      </c>
      <c r="C500" s="10">
        <v>2.8207</v>
      </c>
      <c r="D500" s="6">
        <v>7</v>
      </c>
    </row>
    <row r="501" spans="1:4" ht="15" customHeight="1" x14ac:dyDescent="0.25">
      <c r="A501" s="14" t="s">
        <v>574</v>
      </c>
      <c r="B501" s="6" t="s">
        <v>90</v>
      </c>
      <c r="C501" s="10">
        <v>2.3022999999999998</v>
      </c>
      <c r="D501" s="6">
        <v>10</v>
      </c>
    </row>
    <row r="502" spans="1:4" ht="15" customHeight="1" x14ac:dyDescent="0.25">
      <c r="A502" s="14" t="s">
        <v>575</v>
      </c>
      <c r="B502" s="6" t="s">
        <v>90</v>
      </c>
      <c r="C502" s="10">
        <v>2.0270000000000001</v>
      </c>
      <c r="D502" s="6">
        <v>10</v>
      </c>
    </row>
    <row r="503" spans="1:4" ht="15" customHeight="1" x14ac:dyDescent="0.25">
      <c r="A503" s="14" t="s">
        <v>576</v>
      </c>
      <c r="B503" s="6" t="s">
        <v>87</v>
      </c>
      <c r="C503" s="10">
        <v>3.4394999999999998</v>
      </c>
      <c r="D503" s="6">
        <v>10</v>
      </c>
    </row>
    <row r="504" spans="1:4" ht="15" customHeight="1" x14ac:dyDescent="0.25">
      <c r="A504" s="14" t="s">
        <v>577</v>
      </c>
      <c r="B504" s="6" t="s">
        <v>90</v>
      </c>
      <c r="C504" s="10">
        <v>2.66</v>
      </c>
      <c r="D504" s="6">
        <v>8</v>
      </c>
    </row>
    <row r="505" spans="1:4" ht="15" customHeight="1" x14ac:dyDescent="0.25">
      <c r="A505" s="14" t="s">
        <v>578</v>
      </c>
      <c r="B505" s="6" t="s">
        <v>87</v>
      </c>
      <c r="C505" s="10">
        <v>1.7496</v>
      </c>
      <c r="D505" s="6">
        <v>10</v>
      </c>
    </row>
    <row r="506" spans="1:4" ht="15" customHeight="1" x14ac:dyDescent="0.25">
      <c r="A506" s="14" t="s">
        <v>579</v>
      </c>
      <c r="B506" s="6" t="s">
        <v>90</v>
      </c>
      <c r="C506" s="10">
        <v>2.3990999999999998</v>
      </c>
      <c r="D506" s="6">
        <v>10</v>
      </c>
    </row>
    <row r="507" spans="1:4" ht="15" customHeight="1" x14ac:dyDescent="0.25">
      <c r="A507" s="14" t="s">
        <v>580</v>
      </c>
      <c r="B507" s="6" t="s">
        <v>90</v>
      </c>
      <c r="C507" s="10">
        <v>3.3155000000000001</v>
      </c>
      <c r="D507" s="6">
        <v>10</v>
      </c>
    </row>
    <row r="508" spans="1:4" ht="15" customHeight="1" x14ac:dyDescent="0.25">
      <c r="A508" s="14" t="s">
        <v>581</v>
      </c>
      <c r="B508" s="6" t="s">
        <v>90</v>
      </c>
      <c r="C508" s="10">
        <v>1.4513</v>
      </c>
      <c r="D508" s="6">
        <v>7</v>
      </c>
    </row>
    <row r="509" spans="1:4" ht="15" customHeight="1" x14ac:dyDescent="0.25">
      <c r="A509" s="14" t="s">
        <v>582</v>
      </c>
      <c r="B509" s="6" t="s">
        <v>90</v>
      </c>
      <c r="C509" s="10">
        <v>2.956</v>
      </c>
      <c r="D509" s="6">
        <v>10</v>
      </c>
    </row>
    <row r="510" spans="1:4" ht="15" customHeight="1" x14ac:dyDescent="0.25">
      <c r="A510" s="14" t="s">
        <v>583</v>
      </c>
      <c r="B510" s="6" t="s">
        <v>90</v>
      </c>
      <c r="C510" s="10">
        <v>2.4548999999999999</v>
      </c>
      <c r="D510" s="6">
        <v>10</v>
      </c>
    </row>
    <row r="511" spans="1:4" ht="15" customHeight="1" x14ac:dyDescent="0.25">
      <c r="A511" s="14" t="s">
        <v>584</v>
      </c>
      <c r="B511" s="6" t="s">
        <v>87</v>
      </c>
      <c r="C511" s="10">
        <v>1.6318999999999999</v>
      </c>
      <c r="D511" s="6">
        <v>10</v>
      </c>
    </row>
    <row r="512" spans="1:4" ht="15" customHeight="1" x14ac:dyDescent="0.25">
      <c r="A512" s="14" t="s">
        <v>585</v>
      </c>
      <c r="B512" s="6" t="s">
        <v>90</v>
      </c>
      <c r="C512" s="10">
        <v>3.1566000000000001</v>
      </c>
      <c r="D512" s="6">
        <v>6</v>
      </c>
    </row>
    <row r="513" spans="1:4" ht="15" customHeight="1" x14ac:dyDescent="0.25">
      <c r="A513" s="14" t="s">
        <v>586</v>
      </c>
      <c r="B513" s="6" t="s">
        <v>90</v>
      </c>
      <c r="C513" s="10">
        <v>3.0983999999999998</v>
      </c>
      <c r="D513" s="6">
        <v>8</v>
      </c>
    </row>
    <row r="514" spans="1:4" ht="15" customHeight="1" x14ac:dyDescent="0.25">
      <c r="A514" s="14" t="s">
        <v>50</v>
      </c>
      <c r="B514" s="6" t="s">
        <v>90</v>
      </c>
      <c r="C514" s="10">
        <v>1.7921</v>
      </c>
      <c r="D514" s="6">
        <v>6</v>
      </c>
    </row>
    <row r="515" spans="1:4" ht="15" customHeight="1" x14ac:dyDescent="0.25">
      <c r="A515" s="14" t="s">
        <v>587</v>
      </c>
      <c r="B515" s="6" t="s">
        <v>90</v>
      </c>
      <c r="C515" s="10">
        <v>0.92849999999999999</v>
      </c>
      <c r="D515" s="6">
        <v>10</v>
      </c>
    </row>
    <row r="516" spans="1:4" ht="15" customHeight="1" x14ac:dyDescent="0.25">
      <c r="A516" s="14" t="s">
        <v>588</v>
      </c>
      <c r="B516" s="6" t="s">
        <v>90</v>
      </c>
      <c r="C516" s="10">
        <v>2.2761999999999998</v>
      </c>
      <c r="D516" s="6">
        <v>10</v>
      </c>
    </row>
    <row r="517" spans="1:4" ht="15" customHeight="1" x14ac:dyDescent="0.25">
      <c r="A517" s="14" t="s">
        <v>589</v>
      </c>
      <c r="B517" s="6" t="s">
        <v>90</v>
      </c>
      <c r="C517" s="10">
        <v>1.8140000000000001</v>
      </c>
      <c r="D517" s="6">
        <v>10</v>
      </c>
    </row>
    <row r="518" spans="1:4" ht="15" customHeight="1" x14ac:dyDescent="0.25">
      <c r="A518" s="14" t="s">
        <v>590</v>
      </c>
      <c r="B518" s="6" t="s">
        <v>87</v>
      </c>
      <c r="C518" s="10">
        <v>2.1438000000000001</v>
      </c>
      <c r="D518" s="6">
        <v>10</v>
      </c>
    </row>
    <row r="519" spans="1:4" ht="15" customHeight="1" x14ac:dyDescent="0.25">
      <c r="A519" s="14" t="s">
        <v>591</v>
      </c>
      <c r="B519" s="6" t="s">
        <v>87</v>
      </c>
      <c r="C519" s="10">
        <v>3.4699</v>
      </c>
      <c r="D519" s="6">
        <v>10</v>
      </c>
    </row>
    <row r="520" spans="1:4" ht="15" customHeight="1" x14ac:dyDescent="0.25">
      <c r="A520" s="14" t="s">
        <v>592</v>
      </c>
      <c r="B520" s="6" t="s">
        <v>90</v>
      </c>
      <c r="C520" s="10">
        <v>2.2658999999999998</v>
      </c>
      <c r="D520" s="6">
        <v>10</v>
      </c>
    </row>
    <row r="521" spans="1:4" ht="15" customHeight="1" x14ac:dyDescent="0.25">
      <c r="A521" s="14" t="s">
        <v>593</v>
      </c>
      <c r="B521" s="6" t="s">
        <v>90</v>
      </c>
      <c r="C521" s="10">
        <v>2.5611999999999999</v>
      </c>
      <c r="D521" s="6">
        <v>10</v>
      </c>
    </row>
    <row r="522" spans="1:4" ht="15" customHeight="1" x14ac:dyDescent="0.25">
      <c r="A522" s="14" t="s">
        <v>594</v>
      </c>
      <c r="B522" s="6" t="s">
        <v>90</v>
      </c>
      <c r="C522" s="10">
        <v>4.2674000000000003</v>
      </c>
      <c r="D522" s="6">
        <v>10</v>
      </c>
    </row>
    <row r="523" spans="1:4" ht="15" customHeight="1" x14ac:dyDescent="0.25">
      <c r="A523" s="14" t="s">
        <v>595</v>
      </c>
      <c r="B523" s="6" t="s">
        <v>90</v>
      </c>
      <c r="C523" s="10">
        <v>4.4124999999999996</v>
      </c>
      <c r="D523" s="6">
        <v>10</v>
      </c>
    </row>
    <row r="524" spans="1:4" ht="15" customHeight="1" x14ac:dyDescent="0.25">
      <c r="A524" s="14" t="s">
        <v>596</v>
      </c>
      <c r="B524" s="6" t="s">
        <v>90</v>
      </c>
      <c r="C524" s="10">
        <v>2.2755999999999998</v>
      </c>
      <c r="D524" s="6">
        <v>10</v>
      </c>
    </row>
    <row r="525" spans="1:4" ht="15" customHeight="1" x14ac:dyDescent="0.25">
      <c r="A525" s="14" t="s">
        <v>597</v>
      </c>
      <c r="B525" s="6" t="s">
        <v>90</v>
      </c>
      <c r="C525" s="10">
        <v>3.8464999999999998</v>
      </c>
      <c r="D525" s="6">
        <v>10</v>
      </c>
    </row>
    <row r="526" spans="1:4" ht="15" customHeight="1" x14ac:dyDescent="0.25">
      <c r="A526" s="14" t="s">
        <v>598</v>
      </c>
      <c r="B526" s="6" t="s">
        <v>90</v>
      </c>
      <c r="C526" s="10">
        <v>0.90010000000000001</v>
      </c>
      <c r="D526" s="6">
        <v>8</v>
      </c>
    </row>
    <row r="527" spans="1:4" ht="15" customHeight="1" x14ac:dyDescent="0.25">
      <c r="A527" s="14" t="s">
        <v>599</v>
      </c>
      <c r="B527" s="6" t="s">
        <v>90</v>
      </c>
      <c r="C527" s="10">
        <v>2.0507</v>
      </c>
      <c r="D527" s="6">
        <v>5</v>
      </c>
    </row>
    <row r="528" spans="1:4" ht="15" customHeight="1" x14ac:dyDescent="0.25">
      <c r="A528" s="14" t="s">
        <v>600</v>
      </c>
      <c r="B528" s="6" t="s">
        <v>90</v>
      </c>
      <c r="C528" s="10">
        <v>1.6545000000000001</v>
      </c>
      <c r="D528" s="6">
        <v>10</v>
      </c>
    </row>
    <row r="529" spans="1:4" ht="15" customHeight="1" x14ac:dyDescent="0.25">
      <c r="A529" s="14" t="s">
        <v>601</v>
      </c>
      <c r="B529" s="6" t="s">
        <v>90</v>
      </c>
      <c r="C529" s="10">
        <v>1.4829000000000001</v>
      </c>
      <c r="D529" s="6">
        <v>10</v>
      </c>
    </row>
    <row r="530" spans="1:4" ht="15" customHeight="1" x14ac:dyDescent="0.25">
      <c r="A530" s="14" t="s">
        <v>602</v>
      </c>
      <c r="B530" s="6" t="s">
        <v>90</v>
      </c>
      <c r="C530" s="10">
        <v>2.5554000000000001</v>
      </c>
      <c r="D530" s="6">
        <v>10</v>
      </c>
    </row>
    <row r="531" spans="1:4" ht="15" customHeight="1" x14ac:dyDescent="0.25">
      <c r="A531" s="14" t="s">
        <v>603</v>
      </c>
      <c r="B531" s="6" t="s">
        <v>90</v>
      </c>
      <c r="C531" s="10">
        <v>4.3201000000000001</v>
      </c>
      <c r="D531" s="6">
        <v>8</v>
      </c>
    </row>
    <row r="532" spans="1:4" ht="15" customHeight="1" x14ac:dyDescent="0.25">
      <c r="A532" s="14" t="s">
        <v>604</v>
      </c>
      <c r="B532" s="6" t="s">
        <v>90</v>
      </c>
      <c r="C532" s="10">
        <v>2.7784</v>
      </c>
      <c r="D532" s="6">
        <v>10</v>
      </c>
    </row>
    <row r="533" spans="1:4" ht="15" customHeight="1" x14ac:dyDescent="0.25">
      <c r="A533" s="14" t="s">
        <v>605</v>
      </c>
      <c r="B533" s="6" t="s">
        <v>90</v>
      </c>
      <c r="C533" s="10">
        <v>2.6541000000000001</v>
      </c>
      <c r="D533" s="6">
        <v>10</v>
      </c>
    </row>
    <row r="534" spans="1:4" ht="15" customHeight="1" x14ac:dyDescent="0.25">
      <c r="A534" s="14" t="s">
        <v>606</v>
      </c>
      <c r="B534" s="6" t="s">
        <v>90</v>
      </c>
      <c r="C534" s="10">
        <v>1.86</v>
      </c>
      <c r="D534" s="6">
        <v>10</v>
      </c>
    </row>
    <row r="535" spans="1:4" ht="15" customHeight="1" x14ac:dyDescent="0.25">
      <c r="A535" s="14" t="s">
        <v>607</v>
      </c>
      <c r="B535" s="6" t="s">
        <v>90</v>
      </c>
      <c r="C535" s="10">
        <v>3.3931</v>
      </c>
      <c r="D535" s="6">
        <v>10</v>
      </c>
    </row>
    <row r="536" spans="1:4" ht="15" customHeight="1" x14ac:dyDescent="0.25">
      <c r="A536" s="14" t="s">
        <v>608</v>
      </c>
      <c r="B536" s="6" t="s">
        <v>90</v>
      </c>
      <c r="C536" s="10">
        <v>2.7336999999999998</v>
      </c>
      <c r="D536" s="6">
        <v>10</v>
      </c>
    </row>
    <row r="537" spans="1:4" ht="15" customHeight="1" x14ac:dyDescent="0.25">
      <c r="A537" s="14" t="s">
        <v>609</v>
      </c>
      <c r="B537" s="6" t="s">
        <v>87</v>
      </c>
      <c r="C537" s="10">
        <v>2.4397000000000002</v>
      </c>
      <c r="D537" s="6">
        <v>10</v>
      </c>
    </row>
    <row r="538" spans="1:4" ht="15" customHeight="1" x14ac:dyDescent="0.25">
      <c r="A538" s="14" t="s">
        <v>610</v>
      </c>
      <c r="B538" s="6" t="s">
        <v>87</v>
      </c>
      <c r="C538" s="10">
        <v>1.5593999999999999</v>
      </c>
      <c r="D538" s="6">
        <v>5</v>
      </c>
    </row>
    <row r="539" spans="1:4" ht="15" customHeight="1" x14ac:dyDescent="0.25">
      <c r="A539" s="14" t="s">
        <v>611</v>
      </c>
      <c r="B539" s="6" t="s">
        <v>90</v>
      </c>
      <c r="C539" s="10">
        <v>3.4727000000000001</v>
      </c>
      <c r="D539" s="6">
        <v>10</v>
      </c>
    </row>
    <row r="540" spans="1:4" ht="15" customHeight="1" x14ac:dyDescent="0.25">
      <c r="A540" s="14" t="s">
        <v>612</v>
      </c>
      <c r="B540" s="6" t="s">
        <v>90</v>
      </c>
      <c r="C540" s="10">
        <v>2.4093</v>
      </c>
      <c r="D540" s="6">
        <v>10</v>
      </c>
    </row>
    <row r="541" spans="1:4" ht="15" customHeight="1" x14ac:dyDescent="0.25">
      <c r="A541" s="14" t="s">
        <v>613</v>
      </c>
      <c r="B541" s="6" t="s">
        <v>87</v>
      </c>
      <c r="C541" s="10">
        <v>2.2008999999999999</v>
      </c>
      <c r="D541" s="6">
        <v>10</v>
      </c>
    </row>
    <row r="542" spans="1:4" ht="15" customHeight="1" x14ac:dyDescent="0.25">
      <c r="A542" s="14" t="s">
        <v>614</v>
      </c>
      <c r="B542" s="6" t="s">
        <v>90</v>
      </c>
      <c r="C542" s="10">
        <v>2.2275</v>
      </c>
      <c r="D542" s="6">
        <v>10</v>
      </c>
    </row>
    <row r="543" spans="1:4" ht="15" customHeight="1" x14ac:dyDescent="0.25">
      <c r="A543" s="14" t="s">
        <v>615</v>
      </c>
      <c r="B543" s="6" t="s">
        <v>87</v>
      </c>
      <c r="C543" s="10">
        <v>2.4615</v>
      </c>
      <c r="D543" s="6">
        <v>10</v>
      </c>
    </row>
    <row r="544" spans="1:4" ht="15" customHeight="1" x14ac:dyDescent="0.25">
      <c r="A544" s="14" t="s">
        <v>616</v>
      </c>
      <c r="B544" s="6" t="s">
        <v>90</v>
      </c>
      <c r="C544" s="10">
        <v>2.7793000000000001</v>
      </c>
      <c r="D544" s="6">
        <v>7</v>
      </c>
    </row>
    <row r="545" spans="1:4" ht="15" customHeight="1" x14ac:dyDescent="0.25">
      <c r="A545" s="14" t="s">
        <v>617</v>
      </c>
      <c r="B545" s="6" t="s">
        <v>87</v>
      </c>
      <c r="C545" s="10">
        <v>3.3900999999999999</v>
      </c>
      <c r="D545" s="6">
        <v>10</v>
      </c>
    </row>
    <row r="546" spans="1:4" ht="15" customHeight="1" x14ac:dyDescent="0.25">
      <c r="A546" s="14" t="s">
        <v>618</v>
      </c>
      <c r="B546" s="6" t="s">
        <v>90</v>
      </c>
      <c r="C546" s="10">
        <v>3.4862000000000002</v>
      </c>
      <c r="D546" s="6">
        <v>10</v>
      </c>
    </row>
    <row r="547" spans="1:4" ht="15" customHeight="1" x14ac:dyDescent="0.25">
      <c r="A547" s="14" t="s">
        <v>619</v>
      </c>
      <c r="B547" s="6" t="s">
        <v>87</v>
      </c>
      <c r="C547" s="10">
        <v>1.7370000000000001</v>
      </c>
      <c r="D547" s="6">
        <v>5</v>
      </c>
    </row>
    <row r="548" spans="1:4" ht="15" customHeight="1" x14ac:dyDescent="0.25">
      <c r="A548" s="14" t="s">
        <v>620</v>
      </c>
      <c r="B548" s="6" t="s">
        <v>87</v>
      </c>
      <c r="C548" s="10">
        <v>2.2027999999999999</v>
      </c>
      <c r="D548" s="6">
        <v>10</v>
      </c>
    </row>
    <row r="549" spans="1:4" ht="15" customHeight="1" x14ac:dyDescent="0.25">
      <c r="A549" s="14" t="s">
        <v>621</v>
      </c>
      <c r="B549" s="6" t="s">
        <v>87</v>
      </c>
      <c r="C549" s="10">
        <v>1.7874000000000001</v>
      </c>
      <c r="D549" s="6">
        <v>10</v>
      </c>
    </row>
    <row r="550" spans="1:4" ht="15" customHeight="1" x14ac:dyDescent="0.25">
      <c r="A550" s="14" t="s">
        <v>622</v>
      </c>
      <c r="B550" s="6" t="s">
        <v>90</v>
      </c>
      <c r="C550" s="10">
        <v>2.4205999999999999</v>
      </c>
      <c r="D550" s="6">
        <v>9</v>
      </c>
    </row>
    <row r="551" spans="1:4" ht="15" customHeight="1" x14ac:dyDescent="0.25">
      <c r="A551" s="14" t="s">
        <v>623</v>
      </c>
      <c r="B551" s="6" t="s">
        <v>90</v>
      </c>
      <c r="C551" s="10">
        <v>2.0983999999999998</v>
      </c>
      <c r="D551" s="6">
        <v>10</v>
      </c>
    </row>
    <row r="552" spans="1:4" ht="15" customHeight="1" x14ac:dyDescent="0.25">
      <c r="A552" s="14" t="s">
        <v>624</v>
      </c>
      <c r="B552" s="6" t="s">
        <v>90</v>
      </c>
      <c r="C552" s="10">
        <v>3.4245999999999999</v>
      </c>
      <c r="D552" s="6">
        <v>9</v>
      </c>
    </row>
    <row r="553" spans="1:4" ht="15" customHeight="1" x14ac:dyDescent="0.25">
      <c r="A553" s="14" t="s">
        <v>625</v>
      </c>
      <c r="B553" s="6" t="s">
        <v>90</v>
      </c>
      <c r="C553" s="10">
        <v>2.1305999999999998</v>
      </c>
      <c r="D553" s="6">
        <v>10</v>
      </c>
    </row>
    <row r="554" spans="1:4" ht="15" customHeight="1" x14ac:dyDescent="0.25">
      <c r="A554" s="14" t="s">
        <v>626</v>
      </c>
      <c r="B554" s="6" t="s">
        <v>90</v>
      </c>
      <c r="C554" s="10">
        <v>2.3915000000000002</v>
      </c>
      <c r="D554" s="6">
        <v>10</v>
      </c>
    </row>
    <row r="555" spans="1:4" ht="15" customHeight="1" x14ac:dyDescent="0.25">
      <c r="A555" s="14" t="s">
        <v>627</v>
      </c>
      <c r="B555" s="6" t="s">
        <v>90</v>
      </c>
      <c r="C555" s="10">
        <v>2.6703000000000001</v>
      </c>
      <c r="D555" s="6">
        <v>10</v>
      </c>
    </row>
    <row r="556" spans="1:4" ht="15" customHeight="1" x14ac:dyDescent="0.25">
      <c r="A556" s="14" t="s">
        <v>628</v>
      </c>
      <c r="B556" s="6" t="s">
        <v>90</v>
      </c>
      <c r="C556" s="10">
        <v>2.4624999999999999</v>
      </c>
      <c r="D556" s="6">
        <v>10</v>
      </c>
    </row>
    <row r="557" spans="1:4" ht="15" customHeight="1" x14ac:dyDescent="0.25">
      <c r="A557" s="14" t="s">
        <v>629</v>
      </c>
      <c r="B557" s="6" t="s">
        <v>87</v>
      </c>
      <c r="C557" s="10">
        <v>1.9012</v>
      </c>
      <c r="D557" s="6">
        <v>8</v>
      </c>
    </row>
    <row r="558" spans="1:4" ht="15" customHeight="1" x14ac:dyDescent="0.25">
      <c r="A558" s="14" t="s">
        <v>630</v>
      </c>
      <c r="B558" s="6" t="s">
        <v>90</v>
      </c>
      <c r="C558" s="10">
        <v>3.4129</v>
      </c>
      <c r="D558" s="6">
        <v>5</v>
      </c>
    </row>
    <row r="559" spans="1:4" ht="15" customHeight="1" x14ac:dyDescent="0.25">
      <c r="A559" s="14" t="s">
        <v>631</v>
      </c>
      <c r="B559" s="6" t="s">
        <v>90</v>
      </c>
      <c r="C559" s="10">
        <v>2.7090000000000001</v>
      </c>
      <c r="D559" s="6">
        <v>10</v>
      </c>
    </row>
    <row r="560" spans="1:4" ht="15" customHeight="1" x14ac:dyDescent="0.25">
      <c r="A560" s="14" t="s">
        <v>632</v>
      </c>
      <c r="B560" s="6" t="s">
        <v>90</v>
      </c>
      <c r="C560" s="10">
        <v>2.3811</v>
      </c>
      <c r="D560" s="6">
        <v>10</v>
      </c>
    </row>
    <row r="561" spans="1:4" ht="15" customHeight="1" x14ac:dyDescent="0.25">
      <c r="A561" s="14" t="s">
        <v>633</v>
      </c>
      <c r="B561" s="6" t="s">
        <v>90</v>
      </c>
      <c r="C561" s="10">
        <v>4.7103000000000002</v>
      </c>
      <c r="D561" s="6">
        <v>10</v>
      </c>
    </row>
    <row r="562" spans="1:4" ht="15" customHeight="1" x14ac:dyDescent="0.25">
      <c r="A562" s="14" t="s">
        <v>634</v>
      </c>
      <c r="B562" s="6" t="s">
        <v>90</v>
      </c>
      <c r="C562" s="10">
        <v>2.1038000000000001</v>
      </c>
      <c r="D562" s="6">
        <v>10</v>
      </c>
    </row>
    <row r="563" spans="1:4" ht="15" customHeight="1" x14ac:dyDescent="0.25">
      <c r="A563" s="14" t="s">
        <v>635</v>
      </c>
      <c r="B563" s="6" t="s">
        <v>90</v>
      </c>
      <c r="C563" s="10">
        <v>2.2766999999999999</v>
      </c>
      <c r="D563" s="6">
        <v>10</v>
      </c>
    </row>
    <row r="564" spans="1:4" ht="15" customHeight="1" x14ac:dyDescent="0.25">
      <c r="A564" s="14" t="s">
        <v>636</v>
      </c>
      <c r="B564" s="6" t="s">
        <v>90</v>
      </c>
      <c r="C564" s="10">
        <v>2.4213</v>
      </c>
      <c r="D564" s="6">
        <v>10</v>
      </c>
    </row>
    <row r="565" spans="1:4" ht="15" customHeight="1" x14ac:dyDescent="0.25">
      <c r="A565" s="14" t="s">
        <v>637</v>
      </c>
      <c r="B565" s="6" t="s">
        <v>90</v>
      </c>
      <c r="C565" s="10">
        <v>2.7521</v>
      </c>
      <c r="D565" s="6">
        <v>10</v>
      </c>
    </row>
    <row r="566" spans="1:4" ht="15" customHeight="1" x14ac:dyDescent="0.25">
      <c r="A566" s="14" t="s">
        <v>638</v>
      </c>
      <c r="B566" s="6" t="s">
        <v>90</v>
      </c>
      <c r="C566" s="10">
        <v>2.3517000000000001</v>
      </c>
      <c r="D566" s="6">
        <v>10</v>
      </c>
    </row>
    <row r="567" spans="1:4" ht="15" customHeight="1" x14ac:dyDescent="0.25">
      <c r="A567" s="14" t="s">
        <v>639</v>
      </c>
      <c r="B567" s="6" t="s">
        <v>87</v>
      </c>
      <c r="C567" s="10">
        <v>1.9470000000000001</v>
      </c>
      <c r="D567" s="6">
        <v>10</v>
      </c>
    </row>
    <row r="568" spans="1:4" ht="15" customHeight="1" x14ac:dyDescent="0.25">
      <c r="A568" s="14" t="s">
        <v>640</v>
      </c>
      <c r="B568" s="6" t="s">
        <v>87</v>
      </c>
      <c r="C568" s="10">
        <v>3.5613999999999999</v>
      </c>
      <c r="D568" s="6">
        <v>10</v>
      </c>
    </row>
    <row r="569" spans="1:4" ht="15" customHeight="1" x14ac:dyDescent="0.25">
      <c r="A569" s="14" t="s">
        <v>641</v>
      </c>
      <c r="B569" s="6" t="s">
        <v>90</v>
      </c>
      <c r="C569" s="10">
        <v>2.6560999999999999</v>
      </c>
      <c r="D569" s="6">
        <v>10</v>
      </c>
    </row>
    <row r="570" spans="1:4" ht="15" customHeight="1" x14ac:dyDescent="0.25">
      <c r="A570" s="14" t="s">
        <v>642</v>
      </c>
      <c r="B570" s="6" t="s">
        <v>90</v>
      </c>
      <c r="C570" s="10">
        <v>3.2989999999999999</v>
      </c>
      <c r="D570" s="6">
        <v>10</v>
      </c>
    </row>
    <row r="571" spans="1:4" ht="15" customHeight="1" x14ac:dyDescent="0.25">
      <c r="A571" s="14" t="s">
        <v>643</v>
      </c>
      <c r="B571" s="6" t="s">
        <v>90</v>
      </c>
      <c r="C571" s="10">
        <v>2.4836999999999998</v>
      </c>
      <c r="D571" s="6">
        <v>10</v>
      </c>
    </row>
    <row r="572" spans="1:4" ht="15" customHeight="1" x14ac:dyDescent="0.25">
      <c r="A572" s="14" t="s">
        <v>644</v>
      </c>
      <c r="B572" s="6" t="s">
        <v>87</v>
      </c>
      <c r="C572" s="10">
        <v>3.8001999999999998</v>
      </c>
      <c r="D572" s="6">
        <v>5</v>
      </c>
    </row>
    <row r="573" spans="1:4" ht="15" customHeight="1" x14ac:dyDescent="0.25">
      <c r="A573" s="14" t="s">
        <v>645</v>
      </c>
      <c r="B573" s="6" t="s">
        <v>90</v>
      </c>
      <c r="C573" s="10">
        <v>3.5122</v>
      </c>
      <c r="D573" s="6">
        <v>8</v>
      </c>
    </row>
    <row r="574" spans="1:4" ht="15" customHeight="1" x14ac:dyDescent="0.25">
      <c r="A574" s="14" t="s">
        <v>646</v>
      </c>
      <c r="B574" s="6" t="s">
        <v>87</v>
      </c>
      <c r="C574" s="10">
        <v>3.0775999999999999</v>
      </c>
      <c r="D574" s="6">
        <v>5</v>
      </c>
    </row>
    <row r="575" spans="1:4" ht="15" customHeight="1" x14ac:dyDescent="0.25">
      <c r="A575" s="14" t="s">
        <v>647</v>
      </c>
      <c r="B575" s="6" t="s">
        <v>90</v>
      </c>
      <c r="C575" s="10">
        <v>3.8534000000000002</v>
      </c>
      <c r="D575" s="6">
        <v>10</v>
      </c>
    </row>
    <row r="576" spans="1:4" ht="15" customHeight="1" x14ac:dyDescent="0.25">
      <c r="A576" s="14" t="s">
        <v>648</v>
      </c>
      <c r="B576" s="6" t="s">
        <v>90</v>
      </c>
      <c r="C576" s="10">
        <v>1.5479000000000001</v>
      </c>
      <c r="D576" s="6">
        <v>10</v>
      </c>
    </row>
    <row r="577" spans="1:4" ht="15" customHeight="1" x14ac:dyDescent="0.25">
      <c r="A577" s="14" t="s">
        <v>649</v>
      </c>
      <c r="B577" s="6" t="s">
        <v>90</v>
      </c>
      <c r="C577" s="10">
        <v>3.1484000000000001</v>
      </c>
      <c r="D577" s="6">
        <v>10</v>
      </c>
    </row>
    <row r="578" spans="1:4" ht="15" customHeight="1" x14ac:dyDescent="0.25">
      <c r="A578" s="14" t="s">
        <v>650</v>
      </c>
      <c r="B578" s="6" t="s">
        <v>87</v>
      </c>
      <c r="C578" s="10">
        <v>1.7413000000000001</v>
      </c>
      <c r="D578" s="6">
        <v>10</v>
      </c>
    </row>
    <row r="579" spans="1:4" ht="15" customHeight="1" x14ac:dyDescent="0.25">
      <c r="A579" s="14" t="s">
        <v>651</v>
      </c>
      <c r="B579" s="6" t="s">
        <v>90</v>
      </c>
      <c r="C579" s="10">
        <v>5.0407000000000002</v>
      </c>
      <c r="D579" s="6">
        <v>10</v>
      </c>
    </row>
    <row r="580" spans="1:4" ht="15" customHeight="1" x14ac:dyDescent="0.25">
      <c r="A580" s="14" t="s">
        <v>652</v>
      </c>
      <c r="B580" s="6" t="s">
        <v>90</v>
      </c>
      <c r="C580" s="10">
        <v>2.3504999999999998</v>
      </c>
      <c r="D580" s="6">
        <v>10</v>
      </c>
    </row>
    <row r="581" spans="1:4" ht="15" customHeight="1" x14ac:dyDescent="0.25">
      <c r="A581" s="14" t="s">
        <v>653</v>
      </c>
      <c r="B581" s="6" t="s">
        <v>90</v>
      </c>
      <c r="C581" s="10">
        <v>2.1055999999999999</v>
      </c>
      <c r="D581" s="6">
        <v>10</v>
      </c>
    </row>
    <row r="582" spans="1:4" ht="15" customHeight="1" x14ac:dyDescent="0.25">
      <c r="A582" s="14" t="s">
        <v>654</v>
      </c>
      <c r="B582" s="6" t="s">
        <v>90</v>
      </c>
      <c r="C582" s="10">
        <v>3.3778000000000001</v>
      </c>
      <c r="D582" s="6">
        <v>10</v>
      </c>
    </row>
    <row r="583" spans="1:4" ht="15" customHeight="1" x14ac:dyDescent="0.25">
      <c r="A583" s="14" t="s">
        <v>655</v>
      </c>
      <c r="B583" s="6" t="s">
        <v>87</v>
      </c>
      <c r="C583" s="10">
        <v>3.0200999999999998</v>
      </c>
      <c r="D583" s="6">
        <v>10</v>
      </c>
    </row>
    <row r="584" spans="1:4" ht="15" customHeight="1" x14ac:dyDescent="0.25">
      <c r="A584" s="14" t="s">
        <v>656</v>
      </c>
      <c r="B584" s="6" t="s">
        <v>87</v>
      </c>
      <c r="C584" s="10">
        <v>2.5001000000000002</v>
      </c>
      <c r="D584" s="6">
        <v>10</v>
      </c>
    </row>
    <row r="585" spans="1:4" ht="15" customHeight="1" x14ac:dyDescent="0.25">
      <c r="A585" s="14" t="s">
        <v>657</v>
      </c>
      <c r="B585" s="6" t="s">
        <v>90</v>
      </c>
      <c r="C585" s="10">
        <v>2.9984000000000002</v>
      </c>
      <c r="D585" s="6">
        <v>10</v>
      </c>
    </row>
    <row r="586" spans="1:4" ht="15" customHeight="1" x14ac:dyDescent="0.25">
      <c r="A586" s="14" t="s">
        <v>658</v>
      </c>
      <c r="B586" s="6" t="s">
        <v>90</v>
      </c>
      <c r="C586" s="10">
        <v>1.9970000000000001</v>
      </c>
      <c r="D586" s="6">
        <v>6</v>
      </c>
    </row>
    <row r="587" spans="1:4" ht="15" customHeight="1" x14ac:dyDescent="0.25">
      <c r="A587" s="14" t="s">
        <v>33</v>
      </c>
      <c r="B587" s="6" t="s">
        <v>90</v>
      </c>
      <c r="C587" s="10">
        <v>2.7336999999999998</v>
      </c>
      <c r="D587" s="6">
        <v>10</v>
      </c>
    </row>
    <row r="588" spans="1:4" ht="15" customHeight="1" x14ac:dyDescent="0.25">
      <c r="A588" s="14" t="s">
        <v>659</v>
      </c>
      <c r="B588" s="6" t="s">
        <v>90</v>
      </c>
      <c r="C588" s="10">
        <v>3.2722000000000002</v>
      </c>
      <c r="D588" s="6">
        <v>10</v>
      </c>
    </row>
    <row r="589" spans="1:4" ht="15" customHeight="1" x14ac:dyDescent="0.25">
      <c r="A589" s="14" t="s">
        <v>25</v>
      </c>
      <c r="B589" s="6" t="s">
        <v>90</v>
      </c>
      <c r="C589" s="10">
        <v>3.6042999999999998</v>
      </c>
      <c r="D589" s="6">
        <v>10</v>
      </c>
    </row>
    <row r="590" spans="1:4" ht="15" customHeight="1" x14ac:dyDescent="0.25">
      <c r="A590" s="14" t="s">
        <v>660</v>
      </c>
      <c r="B590" s="6" t="s">
        <v>90</v>
      </c>
      <c r="C590" s="10">
        <v>2.1901000000000002</v>
      </c>
      <c r="D590" s="6">
        <v>10</v>
      </c>
    </row>
    <row r="591" spans="1:4" ht="15" customHeight="1" x14ac:dyDescent="0.25">
      <c r="A591" s="14" t="s">
        <v>661</v>
      </c>
      <c r="B591" s="6" t="s">
        <v>87</v>
      </c>
      <c r="C591" s="10">
        <v>2.2744</v>
      </c>
      <c r="D591" s="6">
        <v>10</v>
      </c>
    </row>
    <row r="592" spans="1:4" ht="15" customHeight="1" x14ac:dyDescent="0.25">
      <c r="A592" s="14" t="s">
        <v>662</v>
      </c>
      <c r="B592" s="6" t="s">
        <v>90</v>
      </c>
      <c r="C592" s="10">
        <v>4.4287999999999998</v>
      </c>
      <c r="D592" s="6">
        <v>10</v>
      </c>
    </row>
    <row r="593" spans="1:4" ht="15" customHeight="1" x14ac:dyDescent="0.25">
      <c r="A593" s="14" t="s">
        <v>663</v>
      </c>
      <c r="B593" s="6" t="s">
        <v>90</v>
      </c>
      <c r="C593" s="10">
        <v>2.5863999999999998</v>
      </c>
      <c r="D593" s="6">
        <v>10</v>
      </c>
    </row>
    <row r="594" spans="1:4" ht="15" customHeight="1" x14ac:dyDescent="0.25">
      <c r="A594" s="14" t="s">
        <v>664</v>
      </c>
      <c r="B594" s="6" t="s">
        <v>90</v>
      </c>
      <c r="C594" s="10">
        <v>2.7410000000000001</v>
      </c>
      <c r="D594" s="6">
        <v>10</v>
      </c>
    </row>
    <row r="595" spans="1:4" ht="15" customHeight="1" x14ac:dyDescent="0.25">
      <c r="A595" s="14" t="s">
        <v>665</v>
      </c>
      <c r="B595" s="6" t="s">
        <v>90</v>
      </c>
      <c r="C595" s="10">
        <v>2.2978000000000001</v>
      </c>
      <c r="D595" s="6">
        <v>10</v>
      </c>
    </row>
    <row r="596" spans="1:4" ht="15" customHeight="1" x14ac:dyDescent="0.25">
      <c r="A596" s="14" t="s">
        <v>666</v>
      </c>
      <c r="B596" s="6" t="s">
        <v>90</v>
      </c>
      <c r="C596" s="10">
        <v>2.1861000000000002</v>
      </c>
      <c r="D596" s="6">
        <v>10</v>
      </c>
    </row>
    <row r="597" spans="1:4" ht="15" customHeight="1" x14ac:dyDescent="0.25">
      <c r="A597" s="14" t="s">
        <v>75</v>
      </c>
      <c r="B597" s="6" t="s">
        <v>87</v>
      </c>
      <c r="C597" s="10">
        <v>2.5638999999999998</v>
      </c>
      <c r="D597" s="6">
        <v>10</v>
      </c>
    </row>
    <row r="598" spans="1:4" ht="15" customHeight="1" x14ac:dyDescent="0.25">
      <c r="A598" s="14" t="s">
        <v>667</v>
      </c>
      <c r="B598" s="6" t="s">
        <v>90</v>
      </c>
      <c r="C598" s="10">
        <v>2.7522000000000002</v>
      </c>
      <c r="D598" s="6">
        <v>10</v>
      </c>
    </row>
    <row r="599" spans="1:4" ht="15" customHeight="1" x14ac:dyDescent="0.25">
      <c r="A599" s="14" t="s">
        <v>78</v>
      </c>
      <c r="B599" s="6" t="s">
        <v>90</v>
      </c>
      <c r="C599" s="10">
        <v>3.8458999999999999</v>
      </c>
      <c r="D599" s="6">
        <v>10</v>
      </c>
    </row>
    <row r="600" spans="1:4" ht="15" customHeight="1" x14ac:dyDescent="0.25">
      <c r="A600" s="14" t="s">
        <v>668</v>
      </c>
      <c r="B600" s="6" t="s">
        <v>90</v>
      </c>
      <c r="C600" s="10">
        <v>3.8645999999999998</v>
      </c>
      <c r="D600" s="6">
        <v>10</v>
      </c>
    </row>
    <row r="601" spans="1:4" ht="15" customHeight="1" x14ac:dyDescent="0.25">
      <c r="A601" s="14" t="s">
        <v>669</v>
      </c>
      <c r="B601" s="6" t="s">
        <v>90</v>
      </c>
      <c r="C601" s="10">
        <v>1.0409999999999999</v>
      </c>
      <c r="D601" s="6">
        <v>10</v>
      </c>
    </row>
    <row r="602" spans="1:4" ht="15" customHeight="1" x14ac:dyDescent="0.25">
      <c r="A602" s="14" t="s">
        <v>670</v>
      </c>
      <c r="B602" s="6" t="s">
        <v>90</v>
      </c>
      <c r="C602" s="10">
        <v>3.5320999999999998</v>
      </c>
      <c r="D602" s="6">
        <v>10</v>
      </c>
    </row>
    <row r="603" spans="1:4" ht="15" customHeight="1" x14ac:dyDescent="0.25">
      <c r="A603" s="14" t="s">
        <v>671</v>
      </c>
      <c r="B603" s="6" t="s">
        <v>90</v>
      </c>
      <c r="C603" s="10">
        <v>2.2355999999999998</v>
      </c>
      <c r="D603" s="6">
        <v>10</v>
      </c>
    </row>
    <row r="604" spans="1:4" ht="15" customHeight="1" x14ac:dyDescent="0.25">
      <c r="A604" s="14" t="s">
        <v>672</v>
      </c>
      <c r="B604" s="6" t="s">
        <v>90</v>
      </c>
      <c r="C604" s="10">
        <v>2.0143</v>
      </c>
      <c r="D604" s="6">
        <v>10</v>
      </c>
    </row>
    <row r="605" spans="1:4" ht="15" customHeight="1" x14ac:dyDescent="0.25">
      <c r="A605" s="14" t="s">
        <v>673</v>
      </c>
      <c r="B605" s="6" t="s">
        <v>90</v>
      </c>
      <c r="C605" s="10">
        <v>3.6989999999999998</v>
      </c>
      <c r="D605" s="6">
        <v>10</v>
      </c>
    </row>
    <row r="606" spans="1:4" ht="15" customHeight="1" x14ac:dyDescent="0.25">
      <c r="A606" s="14" t="s">
        <v>674</v>
      </c>
      <c r="B606" s="6" t="s">
        <v>90</v>
      </c>
      <c r="C606" s="10">
        <v>3.0404</v>
      </c>
      <c r="D606" s="6">
        <v>10</v>
      </c>
    </row>
    <row r="607" spans="1:4" ht="15" customHeight="1" x14ac:dyDescent="0.25">
      <c r="A607" s="14" t="s">
        <v>68</v>
      </c>
      <c r="B607" s="6" t="s">
        <v>87</v>
      </c>
      <c r="C607" s="10">
        <v>4.6059000000000001</v>
      </c>
      <c r="D607" s="6">
        <v>10</v>
      </c>
    </row>
    <row r="608" spans="1:4" ht="15" customHeight="1" x14ac:dyDescent="0.25">
      <c r="A608" s="14" t="s">
        <v>675</v>
      </c>
      <c r="B608" s="6" t="s">
        <v>87</v>
      </c>
      <c r="C608" s="10">
        <v>2.4685999999999999</v>
      </c>
      <c r="D608" s="6">
        <v>10</v>
      </c>
    </row>
    <row r="609" spans="1:4" ht="15" customHeight="1" x14ac:dyDescent="0.25">
      <c r="A609" s="14" t="s">
        <v>676</v>
      </c>
      <c r="B609" s="6" t="s">
        <v>90</v>
      </c>
      <c r="C609" s="10">
        <v>1.2736000000000001</v>
      </c>
      <c r="D609" s="6">
        <v>10</v>
      </c>
    </row>
    <row r="610" spans="1:4" ht="15" customHeight="1" x14ac:dyDescent="0.25">
      <c r="A610" s="14" t="s">
        <v>677</v>
      </c>
      <c r="B610" s="6" t="s">
        <v>87</v>
      </c>
      <c r="C610" s="10">
        <v>0.94930000000000003</v>
      </c>
      <c r="D610" s="6">
        <v>7</v>
      </c>
    </row>
    <row r="611" spans="1:4" ht="15" customHeight="1" x14ac:dyDescent="0.25">
      <c r="A611" s="14" t="s">
        <v>678</v>
      </c>
      <c r="B611" s="6" t="s">
        <v>90</v>
      </c>
      <c r="C611" s="10">
        <v>2.3327</v>
      </c>
      <c r="D611" s="6">
        <v>10</v>
      </c>
    </row>
    <row r="612" spans="1:4" ht="15" customHeight="1" x14ac:dyDescent="0.25">
      <c r="A612" s="14" t="s">
        <v>679</v>
      </c>
      <c r="B612" s="6" t="s">
        <v>90</v>
      </c>
      <c r="C612" s="10">
        <v>2.6259000000000001</v>
      </c>
      <c r="D612" s="6">
        <v>10</v>
      </c>
    </row>
    <row r="613" spans="1:4" ht="15" customHeight="1" x14ac:dyDescent="0.25">
      <c r="A613" s="14" t="s">
        <v>680</v>
      </c>
      <c r="B613" s="6" t="s">
        <v>87</v>
      </c>
      <c r="C613" s="10">
        <v>3.5129999999999999</v>
      </c>
      <c r="D613" s="6">
        <v>10</v>
      </c>
    </row>
    <row r="614" spans="1:4" ht="15" customHeight="1" x14ac:dyDescent="0.25">
      <c r="A614" s="14" t="s">
        <v>681</v>
      </c>
      <c r="B614" s="6" t="s">
        <v>90</v>
      </c>
      <c r="C614" s="10">
        <v>2.7593000000000001</v>
      </c>
      <c r="D614" s="6">
        <v>10</v>
      </c>
    </row>
    <row r="615" spans="1:4" ht="15" customHeight="1" x14ac:dyDescent="0.25">
      <c r="A615" s="14" t="s">
        <v>682</v>
      </c>
      <c r="B615" s="6" t="s">
        <v>90</v>
      </c>
      <c r="C615" s="10">
        <v>3.3489</v>
      </c>
      <c r="D615" s="6">
        <v>10</v>
      </c>
    </row>
    <row r="616" spans="1:4" ht="15" customHeight="1" x14ac:dyDescent="0.25">
      <c r="A616" s="14" t="s">
        <v>683</v>
      </c>
      <c r="B616" s="6" t="s">
        <v>90</v>
      </c>
      <c r="C616" s="10">
        <v>1.9726999999999999</v>
      </c>
      <c r="D616" s="6">
        <v>10</v>
      </c>
    </row>
    <row r="617" spans="1:4" ht="15" customHeight="1" x14ac:dyDescent="0.25">
      <c r="A617" s="14" t="s">
        <v>684</v>
      </c>
      <c r="B617" s="6" t="s">
        <v>87</v>
      </c>
      <c r="C617" s="10">
        <v>1.5838000000000001</v>
      </c>
      <c r="D617" s="6">
        <v>10</v>
      </c>
    </row>
    <row r="618" spans="1:4" ht="15" customHeight="1" x14ac:dyDescent="0.25">
      <c r="A618" s="14" t="s">
        <v>685</v>
      </c>
      <c r="B618" s="6" t="s">
        <v>87</v>
      </c>
      <c r="C618" s="10">
        <v>1.6769000000000001</v>
      </c>
      <c r="D618" s="6">
        <v>10</v>
      </c>
    </row>
    <row r="619" spans="1:4" ht="15" customHeight="1" x14ac:dyDescent="0.25">
      <c r="A619" s="14" t="s">
        <v>686</v>
      </c>
      <c r="B619" s="6" t="s">
        <v>87</v>
      </c>
      <c r="C619" s="10">
        <v>1.7073</v>
      </c>
      <c r="D619" s="6">
        <v>7</v>
      </c>
    </row>
    <row r="620" spans="1:4" ht="15" customHeight="1" x14ac:dyDescent="0.25">
      <c r="A620" s="14" t="s">
        <v>687</v>
      </c>
      <c r="B620" s="6" t="s">
        <v>90</v>
      </c>
      <c r="C620" s="10">
        <v>1.9356</v>
      </c>
      <c r="D620" s="6">
        <v>10</v>
      </c>
    </row>
    <row r="621" spans="1:4" ht="15" customHeight="1" x14ac:dyDescent="0.25">
      <c r="A621" s="14" t="s">
        <v>688</v>
      </c>
      <c r="B621" s="6" t="s">
        <v>90</v>
      </c>
      <c r="C621" s="10">
        <v>1.0497000000000001</v>
      </c>
      <c r="D621" s="6">
        <v>10</v>
      </c>
    </row>
    <row r="622" spans="1:4" ht="15" customHeight="1" x14ac:dyDescent="0.25">
      <c r="A622" s="14" t="s">
        <v>689</v>
      </c>
      <c r="B622" s="6" t="s">
        <v>87</v>
      </c>
      <c r="C622" s="10">
        <v>1.7723</v>
      </c>
      <c r="D622" s="6">
        <v>10</v>
      </c>
    </row>
    <row r="623" spans="1:4" ht="15" customHeight="1" x14ac:dyDescent="0.25">
      <c r="A623" s="14" t="s">
        <v>690</v>
      </c>
      <c r="B623" s="6" t="s">
        <v>90</v>
      </c>
      <c r="C623" s="10">
        <v>4.2915000000000001</v>
      </c>
      <c r="D623" s="6">
        <v>5</v>
      </c>
    </row>
    <row r="624" spans="1:4" ht="15" customHeight="1" x14ac:dyDescent="0.25">
      <c r="A624" s="14" t="s">
        <v>691</v>
      </c>
      <c r="B624" s="6" t="s">
        <v>87</v>
      </c>
      <c r="C624" s="10">
        <v>2.2658999999999998</v>
      </c>
      <c r="D624" s="6">
        <v>10</v>
      </c>
    </row>
    <row r="625" spans="1:4" ht="15" customHeight="1" x14ac:dyDescent="0.25">
      <c r="A625" s="14" t="s">
        <v>692</v>
      </c>
      <c r="B625" s="6" t="s">
        <v>87</v>
      </c>
      <c r="C625" s="10">
        <v>1.3819999999999999</v>
      </c>
      <c r="D625" s="6">
        <v>10</v>
      </c>
    </row>
    <row r="626" spans="1:4" ht="15" customHeight="1" x14ac:dyDescent="0.25">
      <c r="A626" s="14" t="s">
        <v>693</v>
      </c>
      <c r="B626" s="6" t="s">
        <v>87</v>
      </c>
      <c r="C626" s="10">
        <v>2.0647000000000002</v>
      </c>
      <c r="D626" s="6">
        <v>6</v>
      </c>
    </row>
    <row r="627" spans="1:4" ht="15" customHeight="1" x14ac:dyDescent="0.25">
      <c r="A627" s="14" t="s">
        <v>694</v>
      </c>
      <c r="B627" s="6" t="s">
        <v>90</v>
      </c>
      <c r="C627" s="10">
        <v>2.2890000000000001</v>
      </c>
      <c r="D627" s="6">
        <v>10</v>
      </c>
    </row>
    <row r="628" spans="1:4" ht="15" customHeight="1" x14ac:dyDescent="0.25">
      <c r="A628" s="14" t="s">
        <v>695</v>
      </c>
      <c r="B628" s="6" t="s">
        <v>87</v>
      </c>
      <c r="C628" s="10">
        <v>2.9756999999999998</v>
      </c>
      <c r="D628" s="6">
        <v>10</v>
      </c>
    </row>
    <row r="629" spans="1:4" ht="15" customHeight="1" x14ac:dyDescent="0.25">
      <c r="A629" s="14" t="s">
        <v>696</v>
      </c>
      <c r="B629" s="6" t="s">
        <v>90</v>
      </c>
      <c r="C629" s="10">
        <v>1.6979</v>
      </c>
      <c r="D629" s="6">
        <v>10</v>
      </c>
    </row>
    <row r="630" spans="1:4" ht="15" customHeight="1" x14ac:dyDescent="0.25">
      <c r="A630" s="14" t="s">
        <v>697</v>
      </c>
      <c r="B630" s="6" t="s">
        <v>90</v>
      </c>
      <c r="C630" s="10">
        <v>3.3671000000000002</v>
      </c>
      <c r="D630" s="6">
        <v>5</v>
      </c>
    </row>
    <row r="631" spans="1:4" ht="15" customHeight="1" x14ac:dyDescent="0.25">
      <c r="A631" s="14" t="s">
        <v>698</v>
      </c>
      <c r="B631" s="6" t="s">
        <v>90</v>
      </c>
      <c r="C631" s="10">
        <v>2.8431999999999999</v>
      </c>
      <c r="D631" s="6">
        <v>10</v>
      </c>
    </row>
    <row r="632" spans="1:4" ht="15" customHeight="1" x14ac:dyDescent="0.25">
      <c r="A632" s="14" t="s">
        <v>699</v>
      </c>
      <c r="B632" s="6" t="s">
        <v>90</v>
      </c>
      <c r="C632" s="10">
        <v>3.5834000000000001</v>
      </c>
      <c r="D632" s="6">
        <v>10</v>
      </c>
    </row>
    <row r="633" spans="1:4" ht="15" customHeight="1" x14ac:dyDescent="0.25">
      <c r="A633" s="14" t="s">
        <v>700</v>
      </c>
      <c r="B633" s="6" t="s">
        <v>90</v>
      </c>
      <c r="C633" s="10">
        <v>1.7110000000000001</v>
      </c>
      <c r="D633" s="6">
        <v>10</v>
      </c>
    </row>
    <row r="634" spans="1:4" ht="15" customHeight="1" x14ac:dyDescent="0.25">
      <c r="A634" s="14" t="s">
        <v>701</v>
      </c>
      <c r="B634" s="6" t="s">
        <v>90</v>
      </c>
      <c r="C634" s="10">
        <v>3.4956</v>
      </c>
      <c r="D634" s="6">
        <v>10</v>
      </c>
    </row>
    <row r="635" spans="1:4" ht="15" customHeight="1" x14ac:dyDescent="0.25">
      <c r="A635" s="14" t="s">
        <v>702</v>
      </c>
      <c r="B635" s="6" t="s">
        <v>90</v>
      </c>
      <c r="C635" s="10">
        <v>4.0147000000000004</v>
      </c>
      <c r="D635" s="6">
        <v>5</v>
      </c>
    </row>
    <row r="636" spans="1:4" ht="15" customHeight="1" x14ac:dyDescent="0.25">
      <c r="A636" s="14" t="s">
        <v>703</v>
      </c>
      <c r="B636" s="6" t="s">
        <v>90</v>
      </c>
      <c r="C636" s="10">
        <v>1.643</v>
      </c>
      <c r="D636" s="6">
        <v>10</v>
      </c>
    </row>
    <row r="637" spans="1:4" ht="15" customHeight="1" x14ac:dyDescent="0.25">
      <c r="A637" s="14" t="s">
        <v>704</v>
      </c>
      <c r="B637" s="6" t="s">
        <v>90</v>
      </c>
      <c r="C637" s="10">
        <v>0.96150000000000002</v>
      </c>
      <c r="D637" s="6">
        <v>5</v>
      </c>
    </row>
    <row r="638" spans="1:4" ht="15" customHeight="1" x14ac:dyDescent="0.25">
      <c r="A638" s="14" t="s">
        <v>705</v>
      </c>
      <c r="B638" s="6" t="s">
        <v>90</v>
      </c>
      <c r="C638" s="10">
        <v>2.2679999999999998</v>
      </c>
      <c r="D638" s="6">
        <v>8</v>
      </c>
    </row>
    <row r="639" spans="1:4" ht="15" customHeight="1" x14ac:dyDescent="0.25">
      <c r="A639" s="14" t="s">
        <v>706</v>
      </c>
      <c r="B639" s="6" t="s">
        <v>90</v>
      </c>
      <c r="C639" s="10">
        <v>1.9094</v>
      </c>
      <c r="D639" s="6">
        <v>10</v>
      </c>
    </row>
    <row r="640" spans="1:4" ht="15" customHeight="1" x14ac:dyDescent="0.25">
      <c r="A640" s="14" t="s">
        <v>707</v>
      </c>
      <c r="B640" s="6" t="s">
        <v>90</v>
      </c>
      <c r="C640" s="10">
        <v>2.4426000000000001</v>
      </c>
      <c r="D640" s="6">
        <v>7</v>
      </c>
    </row>
    <row r="641" spans="1:4" ht="15" customHeight="1" x14ac:dyDescent="0.25">
      <c r="A641" s="14" t="s">
        <v>708</v>
      </c>
      <c r="B641" s="6" t="s">
        <v>87</v>
      </c>
      <c r="C641" s="10">
        <v>1.2857000000000001</v>
      </c>
      <c r="D641" s="6">
        <v>10</v>
      </c>
    </row>
    <row r="642" spans="1:4" ht="15" customHeight="1" x14ac:dyDescent="0.25">
      <c r="A642" s="14" t="s">
        <v>709</v>
      </c>
      <c r="B642" s="6" t="s">
        <v>90</v>
      </c>
      <c r="C642" s="10">
        <v>2.5499999999999998</v>
      </c>
      <c r="D642" s="6">
        <v>10</v>
      </c>
    </row>
    <row r="643" spans="1:4" ht="15" customHeight="1" x14ac:dyDescent="0.25">
      <c r="A643" s="14" t="s">
        <v>710</v>
      </c>
      <c r="B643" s="6" t="s">
        <v>90</v>
      </c>
      <c r="C643" s="10">
        <v>4.0274000000000001</v>
      </c>
      <c r="D643" s="6">
        <v>10</v>
      </c>
    </row>
    <row r="644" spans="1:4" ht="15" customHeight="1" x14ac:dyDescent="0.25">
      <c r="A644" s="14" t="s">
        <v>711</v>
      </c>
      <c r="B644" s="6" t="s">
        <v>90</v>
      </c>
      <c r="C644" s="10">
        <v>3.3942000000000001</v>
      </c>
      <c r="D644" s="6">
        <v>7</v>
      </c>
    </row>
    <row r="645" spans="1:4" ht="15" customHeight="1" x14ac:dyDescent="0.25">
      <c r="A645" s="14" t="s">
        <v>712</v>
      </c>
      <c r="B645" s="6" t="s">
        <v>90</v>
      </c>
      <c r="C645" s="10">
        <v>3.3521999999999998</v>
      </c>
      <c r="D645" s="6">
        <v>10</v>
      </c>
    </row>
    <row r="646" spans="1:4" ht="15" customHeight="1" x14ac:dyDescent="0.25">
      <c r="A646" s="14" t="s">
        <v>713</v>
      </c>
      <c r="B646" s="6" t="s">
        <v>90</v>
      </c>
      <c r="C646" s="10">
        <v>1.5457000000000001</v>
      </c>
      <c r="D646" s="6">
        <v>5</v>
      </c>
    </row>
    <row r="647" spans="1:4" ht="15" customHeight="1" x14ac:dyDescent="0.25">
      <c r="A647" s="14" t="s">
        <v>714</v>
      </c>
      <c r="B647" s="6" t="s">
        <v>87</v>
      </c>
      <c r="C647" s="10">
        <v>3.8887</v>
      </c>
      <c r="D647" s="6">
        <v>10</v>
      </c>
    </row>
    <row r="648" spans="1:4" ht="15" customHeight="1" x14ac:dyDescent="0.25">
      <c r="A648" s="14" t="s">
        <v>715</v>
      </c>
      <c r="B648" s="6" t="s">
        <v>87</v>
      </c>
      <c r="C648" s="10">
        <v>3.3693</v>
      </c>
      <c r="D648" s="6">
        <v>10</v>
      </c>
    </row>
    <row r="649" spans="1:4" ht="15" customHeight="1" x14ac:dyDescent="0.25">
      <c r="A649" s="14" t="s">
        <v>716</v>
      </c>
      <c r="B649" s="6" t="s">
        <v>87</v>
      </c>
      <c r="C649" s="10">
        <v>2.0552999999999999</v>
      </c>
      <c r="D649" s="6">
        <v>10</v>
      </c>
    </row>
    <row r="650" spans="1:4" ht="15" customHeight="1" x14ac:dyDescent="0.25">
      <c r="A650" s="14" t="s">
        <v>717</v>
      </c>
      <c r="B650" s="6" t="s">
        <v>90</v>
      </c>
      <c r="C650" s="10">
        <v>1.85</v>
      </c>
      <c r="D650" s="6">
        <v>10</v>
      </c>
    </row>
    <row r="651" spans="1:4" ht="15" customHeight="1" x14ac:dyDescent="0.25">
      <c r="A651" s="14" t="s">
        <v>718</v>
      </c>
      <c r="B651" s="6" t="s">
        <v>87</v>
      </c>
      <c r="C651" s="10">
        <v>2.0453999999999999</v>
      </c>
      <c r="D651" s="6">
        <v>8</v>
      </c>
    </row>
    <row r="652" spans="1:4" ht="15" customHeight="1" x14ac:dyDescent="0.25">
      <c r="A652" s="14" t="s">
        <v>719</v>
      </c>
      <c r="B652" s="6" t="s">
        <v>90</v>
      </c>
      <c r="C652" s="10">
        <v>2.1718000000000002</v>
      </c>
      <c r="D652" s="6">
        <v>10</v>
      </c>
    </row>
    <row r="653" spans="1:4" ht="15" customHeight="1" x14ac:dyDescent="0.25">
      <c r="A653" s="14" t="s">
        <v>720</v>
      </c>
      <c r="B653" s="6" t="s">
        <v>87</v>
      </c>
      <c r="C653" s="10">
        <v>1.0338000000000001</v>
      </c>
      <c r="D653" s="6">
        <v>10</v>
      </c>
    </row>
    <row r="654" spans="1:4" ht="15" customHeight="1" x14ac:dyDescent="0.25">
      <c r="A654" s="14" t="s">
        <v>721</v>
      </c>
      <c r="B654" s="6" t="s">
        <v>90</v>
      </c>
      <c r="C654" s="10">
        <v>0.67959999999999998</v>
      </c>
      <c r="D654" s="6">
        <v>10</v>
      </c>
    </row>
    <row r="655" spans="1:4" ht="15" customHeight="1" x14ac:dyDescent="0.25">
      <c r="A655" s="14" t="s">
        <v>722</v>
      </c>
      <c r="B655" s="6" t="s">
        <v>90</v>
      </c>
      <c r="C655" s="10">
        <v>1.0548999999999999</v>
      </c>
      <c r="D655" s="6">
        <v>10</v>
      </c>
    </row>
    <row r="656" spans="1:4" ht="15" customHeight="1" x14ac:dyDescent="0.25">
      <c r="A656" s="14" t="s">
        <v>723</v>
      </c>
      <c r="B656" s="6" t="s">
        <v>90</v>
      </c>
      <c r="C656" s="10">
        <v>2.4289999999999998</v>
      </c>
      <c r="D656" s="6">
        <v>8</v>
      </c>
    </row>
    <row r="657" spans="1:4" ht="15" customHeight="1" x14ac:dyDescent="0.25">
      <c r="A657" s="14" t="s">
        <v>724</v>
      </c>
      <c r="B657" s="6" t="s">
        <v>90</v>
      </c>
      <c r="C657" s="10">
        <v>2.7885</v>
      </c>
      <c r="D657" s="6">
        <v>10</v>
      </c>
    </row>
    <row r="658" spans="1:4" ht="15" customHeight="1" x14ac:dyDescent="0.25">
      <c r="A658" s="14" t="s">
        <v>725</v>
      </c>
      <c r="B658" s="6" t="s">
        <v>90</v>
      </c>
      <c r="C658" s="10">
        <v>3.0194999999999999</v>
      </c>
      <c r="D658" s="6">
        <v>10</v>
      </c>
    </row>
    <row r="659" spans="1:4" ht="15" customHeight="1" x14ac:dyDescent="0.25">
      <c r="A659" s="14" t="s">
        <v>726</v>
      </c>
      <c r="B659" s="6" t="s">
        <v>90</v>
      </c>
      <c r="C659" s="10">
        <v>3.3757000000000001</v>
      </c>
      <c r="D659" s="6">
        <v>10</v>
      </c>
    </row>
    <row r="660" spans="1:4" ht="15" customHeight="1" x14ac:dyDescent="0.25">
      <c r="A660" s="14" t="s">
        <v>727</v>
      </c>
      <c r="B660" s="6" t="s">
        <v>90</v>
      </c>
      <c r="C660" s="10">
        <v>2.6385999999999998</v>
      </c>
      <c r="D660" s="6">
        <v>7</v>
      </c>
    </row>
    <row r="661" spans="1:4" ht="15" customHeight="1" x14ac:dyDescent="0.25">
      <c r="A661" s="14" t="s">
        <v>728</v>
      </c>
      <c r="B661" s="6" t="s">
        <v>90</v>
      </c>
      <c r="C661" s="10">
        <v>3.5672999999999999</v>
      </c>
      <c r="D661" s="6">
        <v>10</v>
      </c>
    </row>
    <row r="662" spans="1:4" ht="15" customHeight="1" x14ac:dyDescent="0.25">
      <c r="A662" s="14" t="s">
        <v>729</v>
      </c>
      <c r="B662" s="6" t="s">
        <v>87</v>
      </c>
      <c r="C662" s="10">
        <v>2.3517000000000001</v>
      </c>
      <c r="D662" s="6">
        <v>9</v>
      </c>
    </row>
    <row r="663" spans="1:4" ht="15" customHeight="1" x14ac:dyDescent="0.25">
      <c r="A663" s="14" t="s">
        <v>730</v>
      </c>
      <c r="B663" s="6" t="s">
        <v>90</v>
      </c>
      <c r="C663" s="10">
        <v>2.1722000000000001</v>
      </c>
      <c r="D663" s="6">
        <v>10</v>
      </c>
    </row>
    <row r="664" spans="1:4" ht="15" customHeight="1" x14ac:dyDescent="0.25">
      <c r="A664" s="14" t="s">
        <v>731</v>
      </c>
      <c r="B664" s="6" t="s">
        <v>90</v>
      </c>
      <c r="C664" s="10">
        <v>0.98219999999999996</v>
      </c>
      <c r="D664" s="6">
        <v>8</v>
      </c>
    </row>
    <row r="665" spans="1:4" ht="15" customHeight="1" x14ac:dyDescent="0.25">
      <c r="A665" s="14" t="s">
        <v>732</v>
      </c>
      <c r="B665" s="6" t="s">
        <v>87</v>
      </c>
      <c r="C665" s="10">
        <v>2.1232000000000002</v>
      </c>
      <c r="D665" s="6">
        <v>10</v>
      </c>
    </row>
    <row r="666" spans="1:4" ht="15" customHeight="1" x14ac:dyDescent="0.25">
      <c r="A666" s="14" t="s">
        <v>733</v>
      </c>
      <c r="B666" s="6" t="s">
        <v>90</v>
      </c>
      <c r="C666" s="10">
        <v>2.1934</v>
      </c>
      <c r="D666" s="6">
        <v>10</v>
      </c>
    </row>
    <row r="667" spans="1:4" ht="15" customHeight="1" x14ac:dyDescent="0.25">
      <c r="A667" s="14" t="s">
        <v>734</v>
      </c>
      <c r="B667" s="6" t="s">
        <v>87</v>
      </c>
      <c r="C667" s="10">
        <v>1.2898000000000001</v>
      </c>
      <c r="D667" s="6">
        <v>10</v>
      </c>
    </row>
    <row r="668" spans="1:4" ht="15" customHeight="1" x14ac:dyDescent="0.25">
      <c r="A668" s="14" t="s">
        <v>735</v>
      </c>
      <c r="B668" s="6" t="s">
        <v>87</v>
      </c>
      <c r="C668" s="10">
        <v>1.9194</v>
      </c>
      <c r="D668" s="6">
        <v>10</v>
      </c>
    </row>
    <row r="669" spans="1:4" ht="15" customHeight="1" x14ac:dyDescent="0.25">
      <c r="A669" s="14" t="s">
        <v>736</v>
      </c>
      <c r="B669" s="6" t="s">
        <v>90</v>
      </c>
      <c r="C669" s="10">
        <v>2.4811000000000001</v>
      </c>
      <c r="D669" s="6">
        <v>10</v>
      </c>
    </row>
    <row r="670" spans="1:4" ht="15" customHeight="1" x14ac:dyDescent="0.25">
      <c r="A670" s="14" t="s">
        <v>737</v>
      </c>
      <c r="B670" s="6" t="s">
        <v>90</v>
      </c>
      <c r="C670" s="10">
        <v>3.1331000000000002</v>
      </c>
      <c r="D670" s="6">
        <v>10</v>
      </c>
    </row>
    <row r="671" spans="1:4" ht="15" customHeight="1" x14ac:dyDescent="0.25">
      <c r="A671" s="14" t="s">
        <v>738</v>
      </c>
      <c r="B671" s="6" t="s">
        <v>90</v>
      </c>
      <c r="C671" s="10">
        <v>2.8891</v>
      </c>
      <c r="D671" s="6">
        <v>10</v>
      </c>
    </row>
    <row r="672" spans="1:4" ht="15" customHeight="1" x14ac:dyDescent="0.25">
      <c r="A672" s="14" t="s">
        <v>739</v>
      </c>
      <c r="B672" s="6" t="s">
        <v>90</v>
      </c>
      <c r="C672" s="10">
        <v>1.1986000000000001</v>
      </c>
      <c r="D672" s="6">
        <v>10</v>
      </c>
    </row>
    <row r="673" spans="1:4" ht="15" customHeight="1" x14ac:dyDescent="0.25">
      <c r="A673" s="14" t="s">
        <v>740</v>
      </c>
      <c r="B673" s="6" t="s">
        <v>90</v>
      </c>
      <c r="C673" s="10">
        <v>5.4846000000000004</v>
      </c>
      <c r="D673" s="6">
        <v>6</v>
      </c>
    </row>
    <row r="674" spans="1:4" ht="15" customHeight="1" x14ac:dyDescent="0.25">
      <c r="A674" s="14" t="s">
        <v>741</v>
      </c>
      <c r="B674" s="6" t="s">
        <v>90</v>
      </c>
      <c r="C674" s="10">
        <v>1.7387999999999999</v>
      </c>
      <c r="D674" s="6">
        <v>10</v>
      </c>
    </row>
    <row r="675" spans="1:4" ht="15" customHeight="1" x14ac:dyDescent="0.25">
      <c r="A675" s="14" t="s">
        <v>742</v>
      </c>
      <c r="B675" s="6" t="s">
        <v>90</v>
      </c>
      <c r="C675" s="10">
        <v>2.3431999999999999</v>
      </c>
      <c r="D675" s="6">
        <v>10</v>
      </c>
    </row>
    <row r="676" spans="1:4" ht="15" customHeight="1" x14ac:dyDescent="0.25">
      <c r="A676" s="14" t="s">
        <v>743</v>
      </c>
      <c r="B676" s="6" t="s">
        <v>90</v>
      </c>
      <c r="C676" s="10">
        <v>4.8810000000000002</v>
      </c>
      <c r="D676" s="6">
        <v>6</v>
      </c>
    </row>
    <row r="677" spans="1:4" ht="15" customHeight="1" x14ac:dyDescent="0.25">
      <c r="A677" s="14" t="s">
        <v>744</v>
      </c>
      <c r="B677" s="6" t="s">
        <v>90</v>
      </c>
      <c r="C677" s="10">
        <v>2.5950000000000002</v>
      </c>
      <c r="D677" s="6">
        <v>10</v>
      </c>
    </row>
    <row r="678" spans="1:4" ht="15" customHeight="1" x14ac:dyDescent="0.25">
      <c r="A678" s="14" t="s">
        <v>745</v>
      </c>
      <c r="B678" s="6" t="s">
        <v>90</v>
      </c>
      <c r="C678" s="10">
        <v>4.1435000000000004</v>
      </c>
      <c r="D678" s="6">
        <v>10</v>
      </c>
    </row>
    <row r="679" spans="1:4" ht="15" customHeight="1" x14ac:dyDescent="0.25">
      <c r="A679" s="14" t="s">
        <v>746</v>
      </c>
      <c r="B679" s="6" t="s">
        <v>90</v>
      </c>
      <c r="C679" s="10">
        <v>1.1720999999999999</v>
      </c>
      <c r="D679" s="6">
        <v>10</v>
      </c>
    </row>
    <row r="680" spans="1:4" ht="15" customHeight="1" x14ac:dyDescent="0.25">
      <c r="A680" s="14" t="s">
        <v>747</v>
      </c>
      <c r="B680" s="6" t="s">
        <v>90</v>
      </c>
      <c r="C680" s="10">
        <v>4.0773000000000001</v>
      </c>
      <c r="D680" s="6">
        <v>10</v>
      </c>
    </row>
    <row r="681" spans="1:4" ht="15" customHeight="1" x14ac:dyDescent="0.25">
      <c r="A681" s="14" t="s">
        <v>748</v>
      </c>
      <c r="B681" s="6" t="s">
        <v>87</v>
      </c>
      <c r="C681" s="10">
        <v>2.0836999999999999</v>
      </c>
      <c r="D681" s="6">
        <v>10</v>
      </c>
    </row>
    <row r="682" spans="1:4" ht="15" customHeight="1" x14ac:dyDescent="0.25">
      <c r="A682" s="14" t="s">
        <v>749</v>
      </c>
      <c r="B682" s="6" t="s">
        <v>87</v>
      </c>
      <c r="C682" s="10">
        <v>3.4554999999999998</v>
      </c>
      <c r="D682" s="6">
        <v>10</v>
      </c>
    </row>
    <row r="683" spans="1:4" ht="15" customHeight="1" x14ac:dyDescent="0.25">
      <c r="A683" s="14" t="s">
        <v>750</v>
      </c>
      <c r="B683" s="6" t="s">
        <v>90</v>
      </c>
      <c r="C683" s="10">
        <v>2.3814000000000002</v>
      </c>
      <c r="D683" s="6">
        <v>10</v>
      </c>
    </row>
    <row r="684" spans="1:4" ht="15" customHeight="1" x14ac:dyDescent="0.25">
      <c r="A684" s="14" t="s">
        <v>751</v>
      </c>
      <c r="B684" s="6" t="s">
        <v>90</v>
      </c>
      <c r="C684" s="10">
        <v>4.4542000000000002</v>
      </c>
      <c r="D684" s="6">
        <v>7</v>
      </c>
    </row>
    <row r="685" spans="1:4" ht="15" customHeight="1" x14ac:dyDescent="0.25">
      <c r="A685" s="14" t="s">
        <v>752</v>
      </c>
      <c r="B685" s="6" t="s">
        <v>90</v>
      </c>
      <c r="C685" s="10">
        <v>3.2017000000000002</v>
      </c>
      <c r="D685" s="6">
        <v>10</v>
      </c>
    </row>
    <row r="686" spans="1:4" ht="15" customHeight="1" x14ac:dyDescent="0.25">
      <c r="A686" s="14" t="s">
        <v>753</v>
      </c>
      <c r="B686" s="6" t="s">
        <v>90</v>
      </c>
      <c r="C686" s="10">
        <v>2.0512000000000001</v>
      </c>
      <c r="D686" s="6">
        <v>9</v>
      </c>
    </row>
    <row r="687" spans="1:4" ht="15" customHeight="1" x14ac:dyDescent="0.25">
      <c r="A687" s="14" t="s">
        <v>754</v>
      </c>
      <c r="B687" s="6" t="s">
        <v>90</v>
      </c>
      <c r="C687" s="10">
        <v>2.8565</v>
      </c>
      <c r="D687" s="6">
        <v>10</v>
      </c>
    </row>
    <row r="688" spans="1:4" ht="15" customHeight="1" x14ac:dyDescent="0.25">
      <c r="A688" s="14" t="s">
        <v>755</v>
      </c>
      <c r="B688" s="6" t="s">
        <v>90</v>
      </c>
      <c r="C688" s="10">
        <v>2.1964000000000001</v>
      </c>
      <c r="D688" s="6">
        <v>10</v>
      </c>
    </row>
    <row r="689" spans="1:4" ht="15" customHeight="1" x14ac:dyDescent="0.25">
      <c r="A689" s="14" t="s">
        <v>756</v>
      </c>
      <c r="B689" s="6" t="s">
        <v>90</v>
      </c>
      <c r="C689" s="10">
        <v>2.1398999999999999</v>
      </c>
      <c r="D689" s="6">
        <v>10</v>
      </c>
    </row>
    <row r="690" spans="1:4" ht="15" customHeight="1" x14ac:dyDescent="0.25">
      <c r="A690" s="14" t="s">
        <v>757</v>
      </c>
      <c r="B690" s="6" t="s">
        <v>87</v>
      </c>
      <c r="C690" s="10">
        <v>2.42</v>
      </c>
      <c r="D690" s="6">
        <v>10</v>
      </c>
    </row>
    <row r="691" spans="1:4" ht="15" customHeight="1" x14ac:dyDescent="0.25">
      <c r="A691" s="14" t="s">
        <v>758</v>
      </c>
      <c r="B691" s="6" t="s">
        <v>90</v>
      </c>
      <c r="C691" s="10">
        <v>2.4790000000000001</v>
      </c>
      <c r="D691" s="6">
        <v>10</v>
      </c>
    </row>
    <row r="692" spans="1:4" ht="15" customHeight="1" x14ac:dyDescent="0.25">
      <c r="A692" s="14" t="s">
        <v>759</v>
      </c>
      <c r="B692" s="6" t="s">
        <v>90</v>
      </c>
      <c r="C692" s="10">
        <v>3.3384999999999998</v>
      </c>
      <c r="D692" s="6">
        <v>10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>
      <pane ySplit="2" topLeftCell="A3" activePane="bottomLeft" state="frozen"/>
      <selection pane="bottomLeft" activeCell="C19" sqref="C19"/>
    </sheetView>
  </sheetViews>
  <sheetFormatPr defaultRowHeight="15" x14ac:dyDescent="0.25"/>
  <cols>
    <col min="1" max="1" width="20.28515625" customWidth="1"/>
    <col min="2" max="2" width="11" customWidth="1"/>
    <col min="3" max="3" width="27.85546875" customWidth="1"/>
    <col min="4" max="4" width="24.28515625" customWidth="1"/>
  </cols>
  <sheetData>
    <row r="1" spans="1:4" ht="20.100000000000001" customHeight="1" x14ac:dyDescent="0.25">
      <c r="A1" s="25" t="s">
        <v>760</v>
      </c>
      <c r="B1" s="23"/>
      <c r="C1" s="23"/>
    </row>
    <row r="2" spans="1:4" ht="15.95" customHeight="1" x14ac:dyDescent="0.25">
      <c r="A2" s="1" t="s">
        <v>761</v>
      </c>
      <c r="B2" s="1" t="s">
        <v>762</v>
      </c>
      <c r="C2" s="1" t="s">
        <v>763</v>
      </c>
    </row>
    <row r="3" spans="1:4" ht="15" customHeight="1" x14ac:dyDescent="0.25">
      <c r="A3" s="15" t="s">
        <v>764</v>
      </c>
      <c r="B3" s="10">
        <v>2.9333</v>
      </c>
      <c r="C3" s="16">
        <v>2.6829000000000001</v>
      </c>
      <c r="D3" t="s">
        <v>897</v>
      </c>
    </row>
    <row r="4" spans="1:4" ht="15" customHeight="1" x14ac:dyDescent="0.25">
      <c r="A4" s="15" t="s">
        <v>765</v>
      </c>
      <c r="B4" s="10">
        <v>2.5463</v>
      </c>
      <c r="C4" s="16">
        <v>2.7406999999999999</v>
      </c>
      <c r="D4" t="s">
        <v>37</v>
      </c>
    </row>
    <row r="5" spans="1:4" ht="15" customHeight="1" x14ac:dyDescent="0.25">
      <c r="A5" s="15" t="s">
        <v>766</v>
      </c>
      <c r="B5" s="10">
        <v>2.3412999999999999</v>
      </c>
      <c r="C5" s="16">
        <v>2.2222</v>
      </c>
      <c r="D5" t="s">
        <v>34</v>
      </c>
    </row>
    <row r="6" spans="1:4" ht="15" customHeight="1" x14ac:dyDescent="0.25">
      <c r="A6" s="15" t="s">
        <v>767</v>
      </c>
      <c r="B6" s="10">
        <v>2.3571</v>
      </c>
      <c r="C6" s="16">
        <v>2.16</v>
      </c>
      <c r="D6" t="s">
        <v>24</v>
      </c>
    </row>
    <row r="7" spans="1:4" ht="15" customHeight="1" x14ac:dyDescent="0.25">
      <c r="A7" s="15" t="s">
        <v>768</v>
      </c>
      <c r="B7" s="10">
        <v>2.6490999999999998</v>
      </c>
      <c r="C7" s="16">
        <v>2.5832999999999999</v>
      </c>
      <c r="D7" t="s">
        <v>42</v>
      </c>
    </row>
    <row r="8" spans="1:4" ht="15" customHeight="1" x14ac:dyDescent="0.25">
      <c r="A8" s="15" t="s">
        <v>769</v>
      </c>
      <c r="B8" s="10">
        <v>2.9134000000000002</v>
      </c>
      <c r="C8" s="16">
        <v>2.8</v>
      </c>
      <c r="D8" t="s">
        <v>74</v>
      </c>
    </row>
    <row r="9" spans="1:4" ht="15" customHeight="1" x14ac:dyDescent="0.25">
      <c r="A9" s="15" t="s">
        <v>770</v>
      </c>
      <c r="B9" s="10">
        <v>2.4809000000000001</v>
      </c>
      <c r="C9" s="16">
        <v>2.5</v>
      </c>
      <c r="D9" t="s">
        <v>44</v>
      </c>
    </row>
    <row r="10" spans="1:4" ht="15" customHeight="1" x14ac:dyDescent="0.25">
      <c r="A10" s="15" t="s">
        <v>771</v>
      </c>
      <c r="B10" s="10">
        <v>2.1579000000000002</v>
      </c>
      <c r="C10" s="16">
        <v>2.2082999999999999</v>
      </c>
      <c r="D10" t="s">
        <v>77</v>
      </c>
    </row>
    <row r="11" spans="1:4" ht="15" customHeight="1" x14ac:dyDescent="0.25">
      <c r="A11" s="15" t="s">
        <v>772</v>
      </c>
      <c r="B11" s="10">
        <v>2.1417000000000002</v>
      </c>
      <c r="C11" s="16">
        <v>1.4878</v>
      </c>
      <c r="D11" t="s">
        <v>52</v>
      </c>
    </row>
    <row r="12" spans="1:4" ht="15" customHeight="1" x14ac:dyDescent="0.25">
      <c r="A12" s="15" t="s">
        <v>773</v>
      </c>
      <c r="B12" s="10">
        <v>2.1983000000000001</v>
      </c>
      <c r="C12" s="16">
        <v>2.3902000000000001</v>
      </c>
      <c r="D12" t="s">
        <v>62</v>
      </c>
    </row>
    <row r="13" spans="1:4" ht="15" customHeight="1" x14ac:dyDescent="0.25">
      <c r="A13" s="15" t="s">
        <v>774</v>
      </c>
      <c r="B13" s="10">
        <v>2.7311000000000001</v>
      </c>
      <c r="C13" s="16">
        <v>2.7907000000000002</v>
      </c>
      <c r="D13" t="s">
        <v>898</v>
      </c>
    </row>
    <row r="14" spans="1:4" ht="15" customHeight="1" x14ac:dyDescent="0.25">
      <c r="A14" s="15" t="s">
        <v>775</v>
      </c>
      <c r="B14" s="10">
        <v>2.3028</v>
      </c>
      <c r="C14" s="16">
        <v>2.4422999999999999</v>
      </c>
      <c r="D14" t="s">
        <v>59</v>
      </c>
    </row>
    <row r="15" spans="1:4" ht="15" customHeight="1" x14ac:dyDescent="0.25">
      <c r="A15" s="15" t="s">
        <v>776</v>
      </c>
      <c r="B15" s="10">
        <v>2.1913</v>
      </c>
      <c r="C15" s="16">
        <v>2.5106000000000002</v>
      </c>
      <c r="D15" t="s">
        <v>32</v>
      </c>
    </row>
    <row r="16" spans="1:4" ht="15" customHeight="1" x14ac:dyDescent="0.25">
      <c r="A16" s="15" t="s">
        <v>777</v>
      </c>
      <c r="B16" s="10">
        <v>2.3784000000000001</v>
      </c>
      <c r="C16" s="16">
        <v>2.4706000000000001</v>
      </c>
      <c r="D16" t="s">
        <v>57</v>
      </c>
    </row>
    <row r="17" spans="1:4" ht="15" customHeight="1" x14ac:dyDescent="0.25">
      <c r="A17" s="15" t="s">
        <v>778</v>
      </c>
      <c r="B17" s="10">
        <v>2.6574</v>
      </c>
      <c r="C17" s="16">
        <v>3.0556000000000001</v>
      </c>
      <c r="D17" t="s">
        <v>899</v>
      </c>
    </row>
    <row r="18" spans="1:4" ht="15" customHeight="1" x14ac:dyDescent="0.25">
      <c r="A18" s="15" t="s">
        <v>779</v>
      </c>
      <c r="B18" s="10">
        <v>2.2557999999999998</v>
      </c>
      <c r="C18" s="16">
        <v>2.4544999999999999</v>
      </c>
      <c r="D18" t="s">
        <v>54</v>
      </c>
    </row>
    <row r="19" spans="1:4" ht="15" customHeight="1" x14ac:dyDescent="0.25">
      <c r="A19" s="15" t="s">
        <v>780</v>
      </c>
      <c r="B19" s="10">
        <v>2.9217</v>
      </c>
      <c r="C19" s="16">
        <v>2.6383000000000001</v>
      </c>
      <c r="D19" t="s">
        <v>64</v>
      </c>
    </row>
    <row r="20" spans="1:4" ht="15" customHeight="1" x14ac:dyDescent="0.25">
      <c r="A20" s="15" t="s">
        <v>781</v>
      </c>
      <c r="B20" s="10">
        <v>2.3542000000000001</v>
      </c>
      <c r="C20" s="16">
        <v>2.0556000000000001</v>
      </c>
      <c r="D20" t="s">
        <v>22</v>
      </c>
    </row>
    <row r="21" spans="1:4" ht="15" customHeight="1" x14ac:dyDescent="0.25">
      <c r="A21" s="15" t="s">
        <v>782</v>
      </c>
      <c r="B21" s="10">
        <v>2.472</v>
      </c>
      <c r="C21" s="16">
        <v>3.5945999999999998</v>
      </c>
      <c r="D21" t="s">
        <v>49</v>
      </c>
    </row>
    <row r="22" spans="1:4" ht="15" customHeight="1" x14ac:dyDescent="0.25">
      <c r="A22" s="15" t="s">
        <v>783</v>
      </c>
      <c r="B22" s="10">
        <v>3.3056000000000001</v>
      </c>
      <c r="C22" s="16">
        <v>2.7925</v>
      </c>
      <c r="D22" t="s">
        <v>902</v>
      </c>
    </row>
    <row r="23" spans="1:4" ht="15" customHeight="1" x14ac:dyDescent="0.25">
      <c r="A23" s="15" t="s">
        <v>784</v>
      </c>
      <c r="B23" s="10">
        <v>2.5533999999999999</v>
      </c>
      <c r="C23" s="16">
        <v>2.4068000000000001</v>
      </c>
      <c r="D23" t="s">
        <v>29</v>
      </c>
    </row>
    <row r="24" spans="1:4" ht="15" customHeight="1" x14ac:dyDescent="0.25">
      <c r="A24" s="15" t="s">
        <v>785</v>
      </c>
      <c r="B24" s="10">
        <v>2.1463000000000001</v>
      </c>
      <c r="C24" s="16">
        <v>1.9231</v>
      </c>
      <c r="D24" t="s">
        <v>47</v>
      </c>
    </row>
    <row r="25" spans="1:4" ht="15" customHeight="1" x14ac:dyDescent="0.25">
      <c r="A25" s="15" t="s">
        <v>786</v>
      </c>
      <c r="B25" s="10">
        <v>2.7667000000000002</v>
      </c>
      <c r="C25" s="16">
        <v>2.2618999999999998</v>
      </c>
      <c r="D25" t="s">
        <v>901</v>
      </c>
    </row>
    <row r="26" spans="1:4" ht="15" customHeight="1" x14ac:dyDescent="0.25">
      <c r="A26" s="15" t="s">
        <v>787</v>
      </c>
      <c r="B26" s="10">
        <v>2.4666999999999999</v>
      </c>
      <c r="C26" s="16">
        <v>3.1480999999999999</v>
      </c>
      <c r="D26" t="s">
        <v>79</v>
      </c>
    </row>
    <row r="27" spans="1:4" ht="15" customHeight="1" x14ac:dyDescent="0.25">
      <c r="A27" s="15" t="s">
        <v>788</v>
      </c>
      <c r="B27" s="10">
        <v>2.4918999999999998</v>
      </c>
      <c r="C27" s="16">
        <v>2.3946999999999998</v>
      </c>
      <c r="D27" t="s">
        <v>900</v>
      </c>
    </row>
    <row r="28" spans="1:4" ht="15" customHeight="1" x14ac:dyDescent="0.25">
      <c r="A28" s="15" t="s">
        <v>789</v>
      </c>
      <c r="B28" s="10">
        <v>2.4</v>
      </c>
      <c r="C28" s="16">
        <v>2.0426000000000002</v>
      </c>
      <c r="D28" t="s">
        <v>69</v>
      </c>
    </row>
    <row r="29" spans="1:4" ht="15" customHeight="1" x14ac:dyDescent="0.25">
      <c r="A29" s="15" t="s">
        <v>790</v>
      </c>
      <c r="B29" s="10">
        <v>2.7302</v>
      </c>
      <c r="C29" s="16">
        <v>2.3056000000000001</v>
      </c>
      <c r="D29" t="s">
        <v>67</v>
      </c>
    </row>
    <row r="30" spans="1:4" ht="15" customHeight="1" x14ac:dyDescent="0.25">
      <c r="A30" s="15" t="s">
        <v>791</v>
      </c>
      <c r="B30" s="10">
        <v>2.6128999999999998</v>
      </c>
      <c r="C30" s="16">
        <v>2.0263</v>
      </c>
      <c r="D30" t="s">
        <v>27</v>
      </c>
    </row>
    <row r="31" spans="1:4" ht="15" customHeight="1" x14ac:dyDescent="0.25">
      <c r="A31" s="15" t="s">
        <v>792</v>
      </c>
      <c r="B31" s="10">
        <v>2.6147999999999998</v>
      </c>
      <c r="C31" s="16">
        <v>2.3332999999999999</v>
      </c>
      <c r="D31" t="s">
        <v>39</v>
      </c>
    </row>
    <row r="32" spans="1:4" ht="15" customHeight="1" x14ac:dyDescent="0.25">
      <c r="A32" s="15" t="s">
        <v>793</v>
      </c>
      <c r="B32" s="10">
        <v>2.2869999999999999</v>
      </c>
      <c r="C32" s="16">
        <v>2.0943000000000001</v>
      </c>
      <c r="D32" t="s">
        <v>72</v>
      </c>
    </row>
  </sheetData>
  <sortState xmlns:xlrd2="http://schemas.microsoft.com/office/spreadsheetml/2017/richdata2" ref="G3:G32">
    <sortCondition ref="G3:G32"/>
  </sortState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>
      <pane ySplit="2" topLeftCell="A3" activePane="bottomLeft" state="frozen"/>
      <selection pane="bottomLeft" activeCell="F12" sqref="F12"/>
    </sheetView>
  </sheetViews>
  <sheetFormatPr defaultRowHeight="15" x14ac:dyDescent="0.25"/>
  <cols>
    <col min="1" max="1" width="10" customWidth="1"/>
    <col min="2" max="2" width="13" customWidth="1"/>
  </cols>
  <sheetData>
    <row r="1" spans="1:3" ht="20.100000000000001" customHeight="1" x14ac:dyDescent="0.25">
      <c r="A1" s="25" t="s">
        <v>794</v>
      </c>
      <c r="B1" s="23"/>
    </row>
    <row r="2" spans="1:3" ht="15.95" customHeight="1" x14ac:dyDescent="0.25">
      <c r="A2" s="1" t="s">
        <v>761</v>
      </c>
      <c r="B2" s="1" t="s">
        <v>795</v>
      </c>
    </row>
    <row r="3" spans="1:3" ht="15" customHeight="1" x14ac:dyDescent="0.25">
      <c r="A3" s="15" t="s">
        <v>764</v>
      </c>
      <c r="B3" s="17">
        <v>1.0871999999999999</v>
      </c>
      <c r="C3" t="s">
        <v>897</v>
      </c>
    </row>
    <row r="4" spans="1:3" ht="15" customHeight="1" x14ac:dyDescent="0.25">
      <c r="A4" s="15" t="s">
        <v>765</v>
      </c>
      <c r="B4" s="18">
        <v>1.0133000000000001</v>
      </c>
      <c r="C4" t="s">
        <v>37</v>
      </c>
    </row>
    <row r="5" spans="1:3" ht="15" customHeight="1" x14ac:dyDescent="0.25">
      <c r="A5" s="15" t="s">
        <v>766</v>
      </c>
      <c r="B5" s="18">
        <v>1.0383</v>
      </c>
      <c r="C5" t="s">
        <v>34</v>
      </c>
    </row>
    <row r="6" spans="1:3" ht="15" customHeight="1" x14ac:dyDescent="0.25">
      <c r="A6" s="15" t="s">
        <v>767</v>
      </c>
      <c r="B6" s="17">
        <v>1.0620000000000001</v>
      </c>
      <c r="C6" t="s">
        <v>24</v>
      </c>
    </row>
    <row r="7" spans="1:3" ht="15" customHeight="1" x14ac:dyDescent="0.25">
      <c r="A7" s="15" t="s">
        <v>768</v>
      </c>
      <c r="B7" s="18">
        <v>1.0367</v>
      </c>
      <c r="C7" t="s">
        <v>42</v>
      </c>
    </row>
    <row r="8" spans="1:3" ht="15" customHeight="1" x14ac:dyDescent="0.25">
      <c r="A8" s="15" t="s">
        <v>769</v>
      </c>
      <c r="B8" s="18">
        <v>0.99339999999999995</v>
      </c>
      <c r="C8" t="s">
        <v>74</v>
      </c>
    </row>
    <row r="9" spans="1:3" ht="15" customHeight="1" x14ac:dyDescent="0.25">
      <c r="A9" s="15" t="s">
        <v>770</v>
      </c>
      <c r="B9" s="17">
        <v>1.0557000000000001</v>
      </c>
      <c r="C9" t="s">
        <v>44</v>
      </c>
    </row>
    <row r="10" spans="1:3" ht="15" customHeight="1" x14ac:dyDescent="0.25">
      <c r="A10" s="15" t="s">
        <v>771</v>
      </c>
      <c r="B10" s="19">
        <v>0.92369999999999997</v>
      </c>
      <c r="C10" t="s">
        <v>77</v>
      </c>
    </row>
    <row r="11" spans="1:3" ht="15" customHeight="1" x14ac:dyDescent="0.25">
      <c r="A11" s="15" t="s">
        <v>772</v>
      </c>
      <c r="B11" s="17">
        <v>1.2658</v>
      </c>
      <c r="C11" t="s">
        <v>52</v>
      </c>
    </row>
    <row r="12" spans="1:3" ht="15" customHeight="1" x14ac:dyDescent="0.25">
      <c r="A12" s="15" t="s">
        <v>773</v>
      </c>
      <c r="B12" s="19">
        <v>0.88480000000000003</v>
      </c>
      <c r="C12" t="s">
        <v>62</v>
      </c>
    </row>
    <row r="13" spans="1:3" ht="15" customHeight="1" x14ac:dyDescent="0.25">
      <c r="A13" s="15" t="s">
        <v>774</v>
      </c>
      <c r="B13" s="18">
        <v>0.96889999999999998</v>
      </c>
      <c r="C13" t="s">
        <v>898</v>
      </c>
    </row>
    <row r="14" spans="1:3" ht="15" customHeight="1" x14ac:dyDescent="0.25">
      <c r="A14" s="15" t="s">
        <v>775</v>
      </c>
      <c r="B14" s="18">
        <v>0.97209999999999996</v>
      </c>
      <c r="C14" t="s">
        <v>59</v>
      </c>
    </row>
    <row r="15" spans="1:3" ht="15" customHeight="1" x14ac:dyDescent="0.25">
      <c r="A15" s="15" t="s">
        <v>776</v>
      </c>
      <c r="B15" s="19">
        <v>0.92649999999999999</v>
      </c>
      <c r="C15" t="s">
        <v>32</v>
      </c>
    </row>
    <row r="16" spans="1:3" ht="15" customHeight="1" x14ac:dyDescent="0.25">
      <c r="A16" s="15" t="s">
        <v>777</v>
      </c>
      <c r="B16" s="17">
        <v>1.0661</v>
      </c>
      <c r="C16" t="s">
        <v>57</v>
      </c>
    </row>
    <row r="17" spans="1:3" ht="15" customHeight="1" x14ac:dyDescent="0.25">
      <c r="A17" s="15" t="s">
        <v>778</v>
      </c>
      <c r="B17" s="18">
        <v>1.0367</v>
      </c>
      <c r="C17" t="s">
        <v>899</v>
      </c>
    </row>
    <row r="18" spans="1:3" ht="15" customHeight="1" x14ac:dyDescent="0.25">
      <c r="A18" s="15" t="s">
        <v>779</v>
      </c>
      <c r="B18" s="18">
        <v>0.98850000000000005</v>
      </c>
      <c r="C18" t="s">
        <v>54</v>
      </c>
    </row>
    <row r="19" spans="1:3" ht="15" customHeight="1" x14ac:dyDescent="0.25">
      <c r="A19" s="15" t="s">
        <v>780</v>
      </c>
      <c r="B19" s="18">
        <v>0.98929999999999996</v>
      </c>
      <c r="C19" t="s">
        <v>64</v>
      </c>
    </row>
    <row r="20" spans="1:3" ht="15" customHeight="1" x14ac:dyDescent="0.25">
      <c r="A20" s="15" t="s">
        <v>781</v>
      </c>
      <c r="B20" s="18">
        <v>1.0268999999999999</v>
      </c>
      <c r="C20" t="s">
        <v>22</v>
      </c>
    </row>
    <row r="21" spans="1:3" ht="15" customHeight="1" x14ac:dyDescent="0.25">
      <c r="A21" s="15" t="s">
        <v>782</v>
      </c>
      <c r="B21" s="18">
        <v>0.98440000000000005</v>
      </c>
      <c r="C21" t="s">
        <v>49</v>
      </c>
    </row>
    <row r="22" spans="1:3" ht="15" customHeight="1" x14ac:dyDescent="0.25">
      <c r="A22" s="15" t="s">
        <v>783</v>
      </c>
      <c r="B22" s="18">
        <v>0.98770000000000002</v>
      </c>
      <c r="C22" t="s">
        <v>902</v>
      </c>
    </row>
    <row r="23" spans="1:3" ht="15" customHeight="1" x14ac:dyDescent="0.25">
      <c r="A23" s="15" t="s">
        <v>784</v>
      </c>
      <c r="B23" s="18">
        <v>0.99590000000000001</v>
      </c>
      <c r="C23" t="s">
        <v>29</v>
      </c>
    </row>
    <row r="24" spans="1:3" ht="15" customHeight="1" x14ac:dyDescent="0.25">
      <c r="A24" s="15" t="s">
        <v>785</v>
      </c>
      <c r="B24" s="18">
        <v>0.96479999999999999</v>
      </c>
      <c r="C24" t="s">
        <v>47</v>
      </c>
    </row>
    <row r="25" spans="1:3" ht="15" customHeight="1" x14ac:dyDescent="0.25">
      <c r="A25" s="15" t="s">
        <v>786</v>
      </c>
      <c r="B25" s="18">
        <v>0.95989999999999998</v>
      </c>
      <c r="C25" t="s">
        <v>901</v>
      </c>
    </row>
    <row r="26" spans="1:3" ht="15" customHeight="1" x14ac:dyDescent="0.25">
      <c r="A26" s="15" t="s">
        <v>787</v>
      </c>
      <c r="B26" s="19">
        <v>0.86770000000000003</v>
      </c>
      <c r="C26" t="s">
        <v>79</v>
      </c>
    </row>
    <row r="27" spans="1:3" ht="15" customHeight="1" x14ac:dyDescent="0.25">
      <c r="A27" s="15" t="s">
        <v>788</v>
      </c>
      <c r="B27" s="19">
        <v>0.92079999999999995</v>
      </c>
      <c r="C27" t="s">
        <v>900</v>
      </c>
    </row>
    <row r="28" spans="1:3" ht="15" customHeight="1" x14ac:dyDescent="0.25">
      <c r="A28" s="15" t="s">
        <v>789</v>
      </c>
      <c r="B28" s="18">
        <v>1.0293000000000001</v>
      </c>
      <c r="C28" t="s">
        <v>69</v>
      </c>
    </row>
    <row r="29" spans="1:3" ht="15" customHeight="1" x14ac:dyDescent="0.25">
      <c r="A29" s="15" t="s">
        <v>790</v>
      </c>
      <c r="B29" s="18">
        <v>0.97950000000000004</v>
      </c>
      <c r="C29" t="s">
        <v>67</v>
      </c>
    </row>
    <row r="30" spans="1:3" ht="15" customHeight="1" x14ac:dyDescent="0.25">
      <c r="A30" s="15" t="s">
        <v>791</v>
      </c>
      <c r="B30" s="18">
        <v>0.95009999999999994</v>
      </c>
      <c r="C30" t="s">
        <v>27</v>
      </c>
    </row>
    <row r="31" spans="1:3" ht="15" customHeight="1" x14ac:dyDescent="0.25">
      <c r="A31" s="15" t="s">
        <v>792</v>
      </c>
      <c r="B31" s="18">
        <v>0.97219999999999995</v>
      </c>
      <c r="C31" t="s">
        <v>39</v>
      </c>
    </row>
    <row r="32" spans="1:3" ht="15" customHeight="1" x14ac:dyDescent="0.25">
      <c r="A32" s="15" t="s">
        <v>793</v>
      </c>
      <c r="B32" s="17">
        <v>1.0546</v>
      </c>
      <c r="C32" t="s">
        <v>72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5"/>
  <sheetViews>
    <sheetView workbookViewId="0">
      <pane ySplit="3" topLeftCell="A4" activePane="bottomLeft" state="frozen"/>
      <selection pane="bottomLeft" sqref="A1:C1"/>
    </sheetView>
  </sheetViews>
  <sheetFormatPr defaultRowHeight="15" x14ac:dyDescent="0.25"/>
  <cols>
    <col min="1" max="1" width="26" customWidth="1"/>
    <col min="2" max="2" width="15" customWidth="1"/>
    <col min="3" max="3" width="10" customWidth="1"/>
  </cols>
  <sheetData>
    <row r="1" spans="1:3" ht="20.100000000000001" customHeight="1" x14ac:dyDescent="0.25">
      <c r="A1" s="25" t="s">
        <v>796</v>
      </c>
      <c r="B1" s="23"/>
      <c r="C1" s="23"/>
    </row>
    <row r="2" spans="1:3" ht="12.95" customHeight="1" x14ac:dyDescent="0.25">
      <c r="A2" s="22" t="s">
        <v>797</v>
      </c>
      <c r="B2" s="23"/>
      <c r="C2" s="23"/>
    </row>
    <row r="3" spans="1:3" ht="15.95" customHeight="1" x14ac:dyDescent="0.25">
      <c r="A3" s="1" t="s">
        <v>798</v>
      </c>
      <c r="B3" s="1" t="s">
        <v>799</v>
      </c>
      <c r="C3" s="1" t="s">
        <v>800</v>
      </c>
    </row>
    <row r="4" spans="1:3" ht="15" customHeight="1" x14ac:dyDescent="0.25">
      <c r="A4" s="14" t="s">
        <v>46</v>
      </c>
      <c r="B4" s="18">
        <v>0.19500000000000001</v>
      </c>
      <c r="C4" s="20" t="s">
        <v>801</v>
      </c>
    </row>
    <row r="5" spans="1:3" ht="15" customHeight="1" x14ac:dyDescent="0.25">
      <c r="A5" s="14" t="s">
        <v>802</v>
      </c>
      <c r="B5" s="17">
        <v>0.20499999999999999</v>
      </c>
      <c r="C5" s="21" t="s">
        <v>803</v>
      </c>
    </row>
    <row r="6" spans="1:3" ht="15" customHeight="1" x14ac:dyDescent="0.25">
      <c r="A6" s="14" t="s">
        <v>804</v>
      </c>
      <c r="B6" s="17">
        <v>0.21</v>
      </c>
      <c r="C6" s="21" t="s">
        <v>803</v>
      </c>
    </row>
    <row r="7" spans="1:3" ht="15" customHeight="1" x14ac:dyDescent="0.25">
      <c r="A7" s="14" t="s">
        <v>805</v>
      </c>
      <c r="B7" s="18">
        <v>0.17</v>
      </c>
      <c r="C7" s="20" t="s">
        <v>801</v>
      </c>
    </row>
    <row r="8" spans="1:3" ht="15" customHeight="1" x14ac:dyDescent="0.25">
      <c r="A8" s="14" t="s">
        <v>806</v>
      </c>
      <c r="B8" s="17">
        <v>0.20499999999999999</v>
      </c>
      <c r="C8" s="21" t="s">
        <v>803</v>
      </c>
    </row>
    <row r="9" spans="1:3" ht="15" customHeight="1" x14ac:dyDescent="0.25">
      <c r="A9" s="14" t="s">
        <v>807</v>
      </c>
      <c r="B9" s="18">
        <v>0.16</v>
      </c>
      <c r="C9" s="20" t="s">
        <v>801</v>
      </c>
    </row>
    <row r="10" spans="1:3" ht="15" customHeight="1" x14ac:dyDescent="0.25">
      <c r="A10" s="14" t="s">
        <v>808</v>
      </c>
      <c r="B10" s="17">
        <v>0.26500000000000001</v>
      </c>
      <c r="C10" s="21" t="s">
        <v>803</v>
      </c>
    </row>
    <row r="11" spans="1:3" ht="15" customHeight="1" x14ac:dyDescent="0.25">
      <c r="A11" s="14" t="s">
        <v>809</v>
      </c>
      <c r="B11" s="17">
        <v>0.22500000000000001</v>
      </c>
      <c r="C11" s="21" t="s">
        <v>803</v>
      </c>
    </row>
    <row r="12" spans="1:3" ht="15" customHeight="1" x14ac:dyDescent="0.25">
      <c r="A12" s="14" t="s">
        <v>810</v>
      </c>
      <c r="B12" s="18">
        <v>0.19</v>
      </c>
      <c r="C12" s="20" t="s">
        <v>801</v>
      </c>
    </row>
    <row r="13" spans="1:3" ht="15" customHeight="1" x14ac:dyDescent="0.25">
      <c r="A13" s="14" t="s">
        <v>811</v>
      </c>
      <c r="B13" s="17">
        <v>0.22</v>
      </c>
      <c r="C13" s="21" t="s">
        <v>803</v>
      </c>
    </row>
    <row r="14" spans="1:3" ht="15" customHeight="1" x14ac:dyDescent="0.25">
      <c r="A14" s="14" t="s">
        <v>812</v>
      </c>
      <c r="B14" s="17">
        <v>0.215</v>
      </c>
      <c r="C14" s="21" t="s">
        <v>803</v>
      </c>
    </row>
    <row r="15" spans="1:3" ht="15" customHeight="1" x14ac:dyDescent="0.25">
      <c r="A15" s="14" t="s">
        <v>61</v>
      </c>
      <c r="B15" s="17">
        <v>0.28499999999999998</v>
      </c>
      <c r="C15" s="21" t="s">
        <v>803</v>
      </c>
    </row>
    <row r="16" spans="1:3" ht="15" customHeight="1" x14ac:dyDescent="0.25">
      <c r="A16" s="14" t="s">
        <v>813</v>
      </c>
      <c r="B16" s="18">
        <v>0.19</v>
      </c>
      <c r="C16" s="20" t="s">
        <v>801</v>
      </c>
    </row>
    <row r="17" spans="1:3" ht="15" customHeight="1" x14ac:dyDescent="0.25">
      <c r="A17" s="14" t="s">
        <v>814</v>
      </c>
      <c r="B17" s="17">
        <v>0.28499999999999998</v>
      </c>
      <c r="C17" s="21" t="s">
        <v>803</v>
      </c>
    </row>
    <row r="18" spans="1:3" ht="15" customHeight="1" x14ac:dyDescent="0.25">
      <c r="A18" s="14" t="s">
        <v>815</v>
      </c>
      <c r="B18" s="17">
        <v>0.22</v>
      </c>
      <c r="C18" s="21" t="s">
        <v>803</v>
      </c>
    </row>
    <row r="19" spans="1:3" ht="15" customHeight="1" x14ac:dyDescent="0.25">
      <c r="A19" s="14" t="s">
        <v>816</v>
      </c>
      <c r="B19" s="17">
        <v>0.28499999999999998</v>
      </c>
      <c r="C19" s="21" t="s">
        <v>803</v>
      </c>
    </row>
    <row r="20" spans="1:3" ht="15" customHeight="1" x14ac:dyDescent="0.25">
      <c r="A20" s="14" t="s">
        <v>817</v>
      </c>
      <c r="B20" s="17">
        <v>0.20499999999999999</v>
      </c>
      <c r="C20" s="21" t="s">
        <v>803</v>
      </c>
    </row>
    <row r="21" spans="1:3" ht="15" customHeight="1" x14ac:dyDescent="0.25">
      <c r="A21" s="14" t="s">
        <v>66</v>
      </c>
      <c r="B21" s="17">
        <v>0.23499999999999999</v>
      </c>
      <c r="C21" s="21" t="s">
        <v>803</v>
      </c>
    </row>
    <row r="22" spans="1:3" ht="15" customHeight="1" x14ac:dyDescent="0.25">
      <c r="A22" s="14" t="s">
        <v>818</v>
      </c>
      <c r="B22" s="17">
        <v>0.24</v>
      </c>
      <c r="C22" s="21" t="s">
        <v>803</v>
      </c>
    </row>
    <row r="23" spans="1:3" ht="15" customHeight="1" x14ac:dyDescent="0.25">
      <c r="A23" s="14" t="s">
        <v>819</v>
      </c>
      <c r="B23" s="17">
        <v>0.30499999999999999</v>
      </c>
      <c r="C23" s="21" t="s">
        <v>803</v>
      </c>
    </row>
    <row r="24" spans="1:3" ht="15" customHeight="1" x14ac:dyDescent="0.25">
      <c r="A24" s="14" t="s">
        <v>820</v>
      </c>
      <c r="B24" s="17">
        <v>0.21</v>
      </c>
      <c r="C24" s="21" t="s">
        <v>803</v>
      </c>
    </row>
    <row r="25" spans="1:3" ht="15" customHeight="1" x14ac:dyDescent="0.25">
      <c r="A25" s="14" t="s">
        <v>821</v>
      </c>
      <c r="B25" s="18">
        <v>0.18</v>
      </c>
      <c r="C25" s="20" t="s">
        <v>801</v>
      </c>
    </row>
    <row r="26" spans="1:3" ht="15" customHeight="1" x14ac:dyDescent="0.25">
      <c r="A26" s="14" t="s">
        <v>822</v>
      </c>
      <c r="B26" s="17">
        <v>0.26500000000000001</v>
      </c>
      <c r="C26" s="21" t="s">
        <v>803</v>
      </c>
    </row>
    <row r="27" spans="1:3" ht="15" customHeight="1" x14ac:dyDescent="0.25">
      <c r="A27" s="14" t="s">
        <v>26</v>
      </c>
      <c r="B27" s="17">
        <v>0.245</v>
      </c>
      <c r="C27" s="21" t="s">
        <v>803</v>
      </c>
    </row>
    <row r="28" spans="1:3" ht="15" customHeight="1" x14ac:dyDescent="0.25">
      <c r="A28" s="14" t="s">
        <v>823</v>
      </c>
      <c r="B28" s="18">
        <v>0.155</v>
      </c>
      <c r="C28" s="20" t="s">
        <v>801</v>
      </c>
    </row>
    <row r="29" spans="1:3" ht="15" customHeight="1" x14ac:dyDescent="0.25">
      <c r="A29" s="14" t="s">
        <v>824</v>
      </c>
      <c r="B29" s="17">
        <v>0.21</v>
      </c>
      <c r="C29" s="21" t="s">
        <v>803</v>
      </c>
    </row>
    <row r="30" spans="1:3" ht="15" customHeight="1" x14ac:dyDescent="0.25">
      <c r="A30" s="14" t="s">
        <v>825</v>
      </c>
      <c r="B30" s="17">
        <v>0.20499999999999999</v>
      </c>
      <c r="C30" s="21" t="s">
        <v>803</v>
      </c>
    </row>
    <row r="31" spans="1:3" ht="15" customHeight="1" x14ac:dyDescent="0.25">
      <c r="A31" s="14" t="s">
        <v>826</v>
      </c>
      <c r="B31" s="17">
        <v>0.26500000000000001</v>
      </c>
      <c r="C31" s="21" t="s">
        <v>803</v>
      </c>
    </row>
    <row r="32" spans="1:3" ht="15" customHeight="1" x14ac:dyDescent="0.25">
      <c r="A32" s="14" t="s">
        <v>827</v>
      </c>
      <c r="B32" s="18">
        <v>0.185</v>
      </c>
      <c r="C32" s="20" t="s">
        <v>801</v>
      </c>
    </row>
    <row r="33" spans="1:3" ht="15" customHeight="1" x14ac:dyDescent="0.25">
      <c r="A33" s="14" t="s">
        <v>828</v>
      </c>
      <c r="B33" s="18">
        <v>0.19500000000000001</v>
      </c>
      <c r="C33" s="20" t="s">
        <v>801</v>
      </c>
    </row>
    <row r="34" spans="1:3" ht="15" customHeight="1" x14ac:dyDescent="0.25">
      <c r="A34" s="14" t="s">
        <v>829</v>
      </c>
      <c r="B34" s="17">
        <v>0.22</v>
      </c>
      <c r="C34" s="21" t="s">
        <v>803</v>
      </c>
    </row>
    <row r="35" spans="1:3" ht="15" customHeight="1" x14ac:dyDescent="0.25">
      <c r="A35" s="14" t="s">
        <v>830</v>
      </c>
      <c r="B35" s="18">
        <v>0.185</v>
      </c>
      <c r="C35" s="20" t="s">
        <v>801</v>
      </c>
    </row>
    <row r="36" spans="1:3" ht="15" customHeight="1" x14ac:dyDescent="0.25">
      <c r="A36" s="14" t="s">
        <v>831</v>
      </c>
      <c r="B36" s="17">
        <v>0.24</v>
      </c>
      <c r="C36" s="21" t="s">
        <v>803</v>
      </c>
    </row>
    <row r="37" spans="1:3" ht="15" customHeight="1" x14ac:dyDescent="0.25">
      <c r="A37" s="14" t="s">
        <v>832</v>
      </c>
      <c r="B37" s="17">
        <v>0.26</v>
      </c>
      <c r="C37" s="21" t="s">
        <v>803</v>
      </c>
    </row>
    <row r="38" spans="1:3" ht="15" customHeight="1" x14ac:dyDescent="0.25">
      <c r="A38" s="14" t="s">
        <v>833</v>
      </c>
      <c r="B38" s="17">
        <v>0.26500000000000001</v>
      </c>
      <c r="C38" s="21" t="s">
        <v>803</v>
      </c>
    </row>
    <row r="39" spans="1:3" ht="15" customHeight="1" x14ac:dyDescent="0.25">
      <c r="A39" s="14" t="s">
        <v>834</v>
      </c>
      <c r="B39" s="18">
        <v>0.19500000000000001</v>
      </c>
      <c r="C39" s="20" t="s">
        <v>801</v>
      </c>
    </row>
    <row r="40" spans="1:3" ht="15" customHeight="1" x14ac:dyDescent="0.25">
      <c r="A40" s="14" t="s">
        <v>835</v>
      </c>
      <c r="B40" s="18">
        <v>0.19500000000000001</v>
      </c>
      <c r="C40" s="20" t="s">
        <v>801</v>
      </c>
    </row>
    <row r="41" spans="1:3" ht="15" customHeight="1" x14ac:dyDescent="0.25">
      <c r="A41" s="14" t="s">
        <v>836</v>
      </c>
      <c r="B41" s="18">
        <v>0.14499999999999999</v>
      </c>
      <c r="C41" s="20" t="s">
        <v>801</v>
      </c>
    </row>
    <row r="42" spans="1:3" ht="15" customHeight="1" x14ac:dyDescent="0.25">
      <c r="A42" s="14" t="s">
        <v>837</v>
      </c>
      <c r="B42" s="18">
        <v>0.19</v>
      </c>
      <c r="C42" s="20" t="s">
        <v>801</v>
      </c>
    </row>
    <row r="43" spans="1:3" ht="15" customHeight="1" x14ac:dyDescent="0.25">
      <c r="A43" s="14" t="s">
        <v>36</v>
      </c>
      <c r="B43" s="18">
        <v>0.19</v>
      </c>
      <c r="C43" s="20" t="s">
        <v>801</v>
      </c>
    </row>
    <row r="44" spans="1:3" ht="15" customHeight="1" x14ac:dyDescent="0.25">
      <c r="A44" s="14" t="s">
        <v>838</v>
      </c>
      <c r="B44" s="17">
        <v>0.245</v>
      </c>
      <c r="C44" s="21" t="s">
        <v>803</v>
      </c>
    </row>
    <row r="45" spans="1:3" ht="15" customHeight="1" x14ac:dyDescent="0.25">
      <c r="A45" s="14" t="s">
        <v>839</v>
      </c>
      <c r="B45" s="17">
        <v>0.25</v>
      </c>
      <c r="C45" s="21" t="s">
        <v>803</v>
      </c>
    </row>
    <row r="46" spans="1:3" ht="15" customHeight="1" x14ac:dyDescent="0.25">
      <c r="A46" s="14" t="s">
        <v>840</v>
      </c>
      <c r="B46" s="17">
        <v>0.22</v>
      </c>
      <c r="C46" s="21" t="s">
        <v>803</v>
      </c>
    </row>
    <row r="47" spans="1:3" ht="15" customHeight="1" x14ac:dyDescent="0.25">
      <c r="A47" s="14" t="s">
        <v>841</v>
      </c>
      <c r="B47" s="17">
        <v>0.2</v>
      </c>
      <c r="C47" s="21" t="s">
        <v>803</v>
      </c>
    </row>
    <row r="48" spans="1:3" ht="15" customHeight="1" x14ac:dyDescent="0.25">
      <c r="A48" s="14" t="s">
        <v>842</v>
      </c>
      <c r="B48" s="17">
        <v>0.23</v>
      </c>
      <c r="C48" s="21" t="s">
        <v>803</v>
      </c>
    </row>
    <row r="49" spans="1:3" ht="15" customHeight="1" x14ac:dyDescent="0.25">
      <c r="A49" s="14" t="s">
        <v>843</v>
      </c>
      <c r="B49" s="17">
        <v>0.38</v>
      </c>
      <c r="C49" s="21" t="s">
        <v>803</v>
      </c>
    </row>
    <row r="50" spans="1:3" ht="15" customHeight="1" x14ac:dyDescent="0.25">
      <c r="A50" s="14" t="s">
        <v>844</v>
      </c>
      <c r="B50" s="18">
        <v>0.17</v>
      </c>
      <c r="C50" s="20" t="s">
        <v>801</v>
      </c>
    </row>
    <row r="51" spans="1:3" ht="15" customHeight="1" x14ac:dyDescent="0.25">
      <c r="A51" s="14" t="s">
        <v>845</v>
      </c>
      <c r="B51" s="17">
        <v>0.215</v>
      </c>
      <c r="C51" s="21" t="s">
        <v>803</v>
      </c>
    </row>
    <row r="52" spans="1:3" ht="15" customHeight="1" x14ac:dyDescent="0.25">
      <c r="A52" s="14" t="s">
        <v>846</v>
      </c>
      <c r="B52" s="17">
        <v>0.22</v>
      </c>
      <c r="C52" s="21" t="s">
        <v>803</v>
      </c>
    </row>
    <row r="53" spans="1:3" ht="15" customHeight="1" x14ac:dyDescent="0.25">
      <c r="A53" s="14" t="s">
        <v>847</v>
      </c>
      <c r="B53" s="18">
        <v>0.16</v>
      </c>
      <c r="C53" s="20" t="s">
        <v>801</v>
      </c>
    </row>
    <row r="54" spans="1:3" ht="15" customHeight="1" x14ac:dyDescent="0.25">
      <c r="A54" s="14" t="s">
        <v>848</v>
      </c>
      <c r="B54" s="18">
        <v>0.18</v>
      </c>
      <c r="C54" s="20" t="s">
        <v>801</v>
      </c>
    </row>
    <row r="55" spans="1:3" ht="15" customHeight="1" x14ac:dyDescent="0.25">
      <c r="A55" s="14" t="s">
        <v>849</v>
      </c>
      <c r="B55" s="17">
        <v>0.245</v>
      </c>
      <c r="C55" s="21" t="s">
        <v>803</v>
      </c>
    </row>
    <row r="56" spans="1:3" ht="15" customHeight="1" x14ac:dyDescent="0.25">
      <c r="A56" s="14" t="s">
        <v>850</v>
      </c>
      <c r="B56" s="18">
        <v>0.155</v>
      </c>
      <c r="C56" s="20" t="s">
        <v>801</v>
      </c>
    </row>
    <row r="57" spans="1:3" ht="15" customHeight="1" x14ac:dyDescent="0.25">
      <c r="A57" s="14" t="s">
        <v>851</v>
      </c>
      <c r="B57" s="17">
        <v>0.2</v>
      </c>
      <c r="C57" s="21" t="s">
        <v>803</v>
      </c>
    </row>
    <row r="58" spans="1:3" ht="15" customHeight="1" x14ac:dyDescent="0.25">
      <c r="A58" s="14" t="s">
        <v>852</v>
      </c>
      <c r="B58" s="17">
        <v>0.245</v>
      </c>
      <c r="C58" s="21" t="s">
        <v>803</v>
      </c>
    </row>
    <row r="59" spans="1:3" ht="15" customHeight="1" x14ac:dyDescent="0.25">
      <c r="A59" s="14" t="s">
        <v>853</v>
      </c>
      <c r="B59" s="18">
        <v>0.19500000000000001</v>
      </c>
      <c r="C59" s="20" t="s">
        <v>801</v>
      </c>
    </row>
    <row r="60" spans="1:3" ht="15" customHeight="1" x14ac:dyDescent="0.25">
      <c r="A60" s="14" t="s">
        <v>854</v>
      </c>
      <c r="B60" s="17">
        <v>0.23499999999999999</v>
      </c>
      <c r="C60" s="21" t="s">
        <v>803</v>
      </c>
    </row>
    <row r="61" spans="1:3" ht="15" customHeight="1" x14ac:dyDescent="0.25">
      <c r="A61" s="14" t="s">
        <v>855</v>
      </c>
      <c r="B61" s="17">
        <v>0.23499999999999999</v>
      </c>
      <c r="C61" s="21" t="s">
        <v>803</v>
      </c>
    </row>
    <row r="62" spans="1:3" ht="15" customHeight="1" x14ac:dyDescent="0.25">
      <c r="A62" s="14" t="s">
        <v>856</v>
      </c>
      <c r="B62" s="17">
        <v>0.25</v>
      </c>
      <c r="C62" s="21" t="s">
        <v>803</v>
      </c>
    </row>
    <row r="63" spans="1:3" ht="15" customHeight="1" x14ac:dyDescent="0.25">
      <c r="A63" s="14" t="s">
        <v>857</v>
      </c>
      <c r="B63" s="17">
        <v>0.3</v>
      </c>
      <c r="C63" s="21" t="s">
        <v>803</v>
      </c>
    </row>
    <row r="64" spans="1:3" ht="15" customHeight="1" x14ac:dyDescent="0.25">
      <c r="A64" s="14" t="s">
        <v>858</v>
      </c>
      <c r="B64" s="18">
        <v>0.14000000000000001</v>
      </c>
      <c r="C64" s="20" t="s">
        <v>801</v>
      </c>
    </row>
    <row r="65" spans="1:3" ht="15" customHeight="1" x14ac:dyDescent="0.25">
      <c r="A65" s="14" t="s">
        <v>859</v>
      </c>
      <c r="B65" s="17">
        <v>0.22500000000000001</v>
      </c>
      <c r="C65" s="21" t="s">
        <v>803</v>
      </c>
    </row>
    <row r="66" spans="1:3" ht="15" customHeight="1" x14ac:dyDescent="0.25">
      <c r="A66" s="14" t="s">
        <v>860</v>
      </c>
      <c r="B66" s="17">
        <v>0.2</v>
      </c>
      <c r="C66" s="21" t="s">
        <v>803</v>
      </c>
    </row>
    <row r="67" spans="1:3" ht="15" customHeight="1" x14ac:dyDescent="0.25">
      <c r="A67" s="14" t="s">
        <v>861</v>
      </c>
      <c r="B67" s="17">
        <v>0.20499999999999999</v>
      </c>
      <c r="C67" s="21" t="s">
        <v>803</v>
      </c>
    </row>
    <row r="68" spans="1:3" ht="15" customHeight="1" x14ac:dyDescent="0.25">
      <c r="A68" s="14" t="s">
        <v>862</v>
      </c>
      <c r="B68" s="17">
        <v>0.20499999999999999</v>
      </c>
      <c r="C68" s="21" t="s">
        <v>803</v>
      </c>
    </row>
    <row r="69" spans="1:3" ht="15" customHeight="1" x14ac:dyDescent="0.25">
      <c r="A69" s="14" t="s">
        <v>863</v>
      </c>
      <c r="B69" s="18">
        <v>0.18</v>
      </c>
      <c r="C69" s="20" t="s">
        <v>801</v>
      </c>
    </row>
    <row r="70" spans="1:3" ht="15" customHeight="1" x14ac:dyDescent="0.25">
      <c r="A70" s="14" t="s">
        <v>71</v>
      </c>
      <c r="B70" s="17">
        <v>0.215</v>
      </c>
      <c r="C70" s="21" t="s">
        <v>803</v>
      </c>
    </row>
    <row r="71" spans="1:3" ht="15" customHeight="1" x14ac:dyDescent="0.25">
      <c r="A71" s="14" t="s">
        <v>864</v>
      </c>
      <c r="B71" s="18">
        <v>0.18</v>
      </c>
      <c r="C71" s="20" t="s">
        <v>801</v>
      </c>
    </row>
    <row r="72" spans="1:3" ht="15" customHeight="1" x14ac:dyDescent="0.25">
      <c r="A72" s="14" t="s">
        <v>865</v>
      </c>
      <c r="B72" s="18">
        <v>0.17499999999999999</v>
      </c>
      <c r="C72" s="20" t="s">
        <v>801</v>
      </c>
    </row>
    <row r="73" spans="1:3" ht="15" customHeight="1" x14ac:dyDescent="0.25">
      <c r="A73" s="14" t="s">
        <v>866</v>
      </c>
      <c r="B73" s="18">
        <v>0.19</v>
      </c>
      <c r="C73" s="20" t="s">
        <v>801</v>
      </c>
    </row>
    <row r="74" spans="1:3" ht="15" customHeight="1" x14ac:dyDescent="0.25">
      <c r="A74" s="14" t="s">
        <v>867</v>
      </c>
      <c r="B74" s="18">
        <v>0.185</v>
      </c>
      <c r="C74" s="20" t="s">
        <v>801</v>
      </c>
    </row>
    <row r="75" spans="1:3" ht="15" customHeight="1" x14ac:dyDescent="0.25">
      <c r="A75" s="14" t="s">
        <v>868</v>
      </c>
      <c r="B75" s="17">
        <v>0.22500000000000001</v>
      </c>
      <c r="C75" s="21" t="s">
        <v>803</v>
      </c>
    </row>
    <row r="76" spans="1:3" ht="15" customHeight="1" x14ac:dyDescent="0.25">
      <c r="A76" s="14" t="s">
        <v>51</v>
      </c>
      <c r="B76" s="17">
        <v>0.245</v>
      </c>
      <c r="C76" s="21" t="s">
        <v>803</v>
      </c>
    </row>
    <row r="77" spans="1:3" ht="15" customHeight="1" x14ac:dyDescent="0.25">
      <c r="A77" s="14" t="s">
        <v>869</v>
      </c>
      <c r="B77" s="17">
        <v>0.28999999999999998</v>
      </c>
      <c r="C77" s="21" t="s">
        <v>803</v>
      </c>
    </row>
    <row r="78" spans="1:3" ht="15" customHeight="1" x14ac:dyDescent="0.25">
      <c r="A78" s="14" t="s">
        <v>76</v>
      </c>
      <c r="B78" s="17">
        <v>0.22</v>
      </c>
      <c r="C78" s="21" t="s">
        <v>803</v>
      </c>
    </row>
    <row r="79" spans="1:3" ht="15" customHeight="1" x14ac:dyDescent="0.25">
      <c r="A79" s="14" t="s">
        <v>870</v>
      </c>
      <c r="B79" s="17">
        <v>0.22500000000000001</v>
      </c>
      <c r="C79" s="21" t="s">
        <v>803</v>
      </c>
    </row>
    <row r="80" spans="1:3" ht="15" customHeight="1" x14ac:dyDescent="0.25">
      <c r="A80" s="14" t="s">
        <v>871</v>
      </c>
      <c r="B80" s="17">
        <v>0.22</v>
      </c>
      <c r="C80" s="21" t="s">
        <v>803</v>
      </c>
    </row>
    <row r="81" spans="1:3" ht="15" customHeight="1" x14ac:dyDescent="0.25">
      <c r="A81" s="14" t="s">
        <v>41</v>
      </c>
      <c r="B81" s="17">
        <v>0.22</v>
      </c>
      <c r="C81" s="21" t="s">
        <v>803</v>
      </c>
    </row>
    <row r="82" spans="1:3" ht="15" customHeight="1" x14ac:dyDescent="0.25">
      <c r="A82" s="14" t="s">
        <v>872</v>
      </c>
      <c r="B82" s="17">
        <v>0.2</v>
      </c>
      <c r="C82" s="21" t="s">
        <v>803</v>
      </c>
    </row>
    <row r="83" spans="1:3" ht="15" customHeight="1" x14ac:dyDescent="0.25">
      <c r="A83" s="14" t="s">
        <v>873</v>
      </c>
      <c r="B83" s="17">
        <v>0.23499999999999999</v>
      </c>
      <c r="C83" s="21" t="s">
        <v>803</v>
      </c>
    </row>
    <row r="84" spans="1:3" ht="15" customHeight="1" x14ac:dyDescent="0.25">
      <c r="A84" s="14" t="s">
        <v>31</v>
      </c>
      <c r="B84" s="17">
        <v>0.255</v>
      </c>
      <c r="C84" s="21" t="s">
        <v>803</v>
      </c>
    </row>
    <row r="85" spans="1:3" ht="15" customHeight="1" x14ac:dyDescent="0.25">
      <c r="A85" s="14" t="s">
        <v>874</v>
      </c>
      <c r="B85" s="18">
        <v>0.14000000000000001</v>
      </c>
      <c r="C85" s="20" t="s">
        <v>801</v>
      </c>
    </row>
    <row r="86" spans="1:3" ht="15" customHeight="1" x14ac:dyDescent="0.25">
      <c r="A86" s="14" t="s">
        <v>875</v>
      </c>
      <c r="B86" s="17">
        <v>0.51</v>
      </c>
      <c r="C86" s="21" t="s">
        <v>803</v>
      </c>
    </row>
    <row r="87" spans="1:3" ht="15" customHeight="1" x14ac:dyDescent="0.25">
      <c r="A87" s="14" t="s">
        <v>56</v>
      </c>
      <c r="B87" s="17">
        <v>0.21</v>
      </c>
      <c r="C87" s="21" t="s">
        <v>803</v>
      </c>
    </row>
    <row r="88" spans="1:3" ht="15" customHeight="1" x14ac:dyDescent="0.25">
      <c r="A88" s="14" t="s">
        <v>876</v>
      </c>
      <c r="B88" s="17">
        <v>0.22500000000000001</v>
      </c>
      <c r="C88" s="21" t="s">
        <v>803</v>
      </c>
    </row>
    <row r="89" spans="1:3" ht="15" customHeight="1" x14ac:dyDescent="0.25">
      <c r="A89" s="14" t="s">
        <v>877</v>
      </c>
      <c r="B89" s="17">
        <v>0.21</v>
      </c>
      <c r="C89" s="21" t="s">
        <v>803</v>
      </c>
    </row>
    <row r="90" spans="1:3" ht="15" customHeight="1" x14ac:dyDescent="0.25">
      <c r="A90" s="14" t="s">
        <v>878</v>
      </c>
      <c r="B90" s="18">
        <v>0.18</v>
      </c>
      <c r="C90" s="20" t="s">
        <v>801</v>
      </c>
    </row>
    <row r="91" spans="1:3" ht="15" customHeight="1" x14ac:dyDescent="0.25">
      <c r="A91" s="14" t="s">
        <v>879</v>
      </c>
      <c r="B91" s="18">
        <v>0.15</v>
      </c>
      <c r="C91" s="20" t="s">
        <v>801</v>
      </c>
    </row>
    <row r="92" spans="1:3" ht="15" customHeight="1" x14ac:dyDescent="0.25">
      <c r="A92" s="14" t="s">
        <v>880</v>
      </c>
      <c r="B92" s="17">
        <v>0.59499999999999997</v>
      </c>
      <c r="C92" s="21" t="s">
        <v>803</v>
      </c>
    </row>
    <row r="93" spans="1:3" ht="15" customHeight="1" x14ac:dyDescent="0.25">
      <c r="A93" s="14" t="s">
        <v>881</v>
      </c>
      <c r="B93" s="18">
        <v>0.19</v>
      </c>
      <c r="C93" s="20" t="s">
        <v>801</v>
      </c>
    </row>
    <row r="94" spans="1:3" ht="15" customHeight="1" x14ac:dyDescent="0.25">
      <c r="A94" s="14" t="s">
        <v>882</v>
      </c>
      <c r="B94" s="17">
        <v>0.2</v>
      </c>
      <c r="C94" s="21" t="s">
        <v>803</v>
      </c>
    </row>
    <row r="95" spans="1:3" ht="15" customHeight="1" x14ac:dyDescent="0.25">
      <c r="A95" s="14" t="s">
        <v>883</v>
      </c>
      <c r="B95" s="17">
        <v>0.2</v>
      </c>
      <c r="C95" s="21" t="s">
        <v>803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workbookViewId="0">
      <pane ySplit="2" topLeftCell="A3" activePane="bottomLeft" state="frozen"/>
      <selection pane="bottomLeft" activeCell="G9" sqref="G9"/>
    </sheetView>
  </sheetViews>
  <sheetFormatPr defaultRowHeight="15" x14ac:dyDescent="0.25"/>
  <cols>
    <col min="1" max="1" width="10.140625" bestFit="1" customWidth="1"/>
    <col min="2" max="2" width="19.42578125" bestFit="1" customWidth="1"/>
    <col min="3" max="3" width="17" bestFit="1" customWidth="1"/>
    <col min="4" max="4" width="17.85546875" bestFit="1" customWidth="1"/>
    <col min="5" max="5" width="16.42578125" bestFit="1" customWidth="1"/>
    <col min="6" max="6" width="13.85546875" bestFit="1" customWidth="1"/>
    <col min="7" max="7" width="14.140625" bestFit="1" customWidth="1"/>
    <col min="8" max="8" width="9.5703125" bestFit="1" customWidth="1"/>
    <col min="9" max="9" width="14.7109375" bestFit="1" customWidth="1"/>
    <col min="10" max="10" width="14.42578125" bestFit="1" customWidth="1"/>
  </cols>
  <sheetData>
    <row r="1" spans="1:10" ht="14.1" customHeight="1" x14ac:dyDescent="0.25">
      <c r="A1" s="22" t="s">
        <v>884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.95" customHeight="1" x14ac:dyDescent="0.25">
      <c r="A2" s="1" t="s">
        <v>885</v>
      </c>
      <c r="B2" s="1" t="s">
        <v>886</v>
      </c>
      <c r="C2" s="1" t="s">
        <v>887</v>
      </c>
      <c r="D2" s="1" t="s">
        <v>888</v>
      </c>
      <c r="E2" s="1" t="s">
        <v>889</v>
      </c>
      <c r="F2" s="1" t="s">
        <v>890</v>
      </c>
      <c r="G2" s="1" t="s">
        <v>891</v>
      </c>
      <c r="H2" s="1" t="s">
        <v>892</v>
      </c>
      <c r="I2" s="1" t="s">
        <v>893</v>
      </c>
      <c r="J2" s="1" t="s">
        <v>894</v>
      </c>
    </row>
    <row r="3" spans="1:10" ht="15" customHeight="1" x14ac:dyDescent="0.25">
      <c r="A3" s="6" t="s">
        <v>895</v>
      </c>
      <c r="B3" s="9" t="str">
        <f>IF(Slate!B4="","",Slate!B4)</f>
        <v>Minnesota Twins</v>
      </c>
      <c r="C3" s="9" t="str">
        <f>IF(Slate!C4="","",Slate!C4)</f>
        <v>Bailey Ober</v>
      </c>
      <c r="D3" s="9" t="str">
        <f>IF(Slate!K4="","",Slate!K4)</f>
        <v>Baltimore Orioles</v>
      </c>
      <c r="E3" s="9" t="str">
        <f>IF(Slate!L4="","",Slate!L4)</f>
        <v>Shane Baz</v>
      </c>
      <c r="F3" s="10" t="e">
        <f>IF(Slate!#REF!&lt;&gt;"",ROUND(Slate!#REF!,3),ROUND(Slate!G4,3))</f>
        <v>#REF!</v>
      </c>
      <c r="G3" s="10" t="e">
        <f>IF(Slate!#REF!&lt;&gt;"",ROUND(Slate!#REF!,3),ROUND(Slate!P4,3))</f>
        <v>#REF!</v>
      </c>
      <c r="H3" s="10" t="e">
        <f>IF(Slate!K4="","",ROUND(IF(Slate!#REF!&lt;&gt;"",ROUND(Slate!#REF!,3),ROUND(Slate!G4,3))+IF(Slate!#REF!&lt;&gt;"",ROUND(Slate!#REF!,3),ROUND(Slate!P4,3)),3))</f>
        <v>#REF!</v>
      </c>
      <c r="I3" s="10">
        <f>IF(Slate!Q4="",0.5,ROUND(Slate!Q4,4))</f>
        <v>0.68899999999999995</v>
      </c>
      <c r="J3" s="6" t="s">
        <v>896</v>
      </c>
    </row>
    <row r="4" spans="1:10" ht="15" customHeight="1" x14ac:dyDescent="0.25">
      <c r="A4" s="6" t="s">
        <v>895</v>
      </c>
      <c r="B4" s="9" t="str">
        <f>IF(Slate!B5="","",Slate!B5)</f>
        <v>Texas Rangers</v>
      </c>
      <c r="C4" s="9" t="str">
        <f>IF(Slate!C5="","",Slate!C5)</f>
        <v>MacKenzie Gore</v>
      </c>
      <c r="D4" s="9" t="str">
        <f>IF(Slate!K5="","",Slate!K5)</f>
        <v>Philadelphia Phillies</v>
      </c>
      <c r="E4" s="9" t="str">
        <f>IF(Slate!L5="","",Slate!L5)</f>
        <v>Jesús Luzardo</v>
      </c>
      <c r="F4" s="10" t="e">
        <f>IF(Slate!#REF!&lt;&gt;"",ROUND(Slate!#REF!,3),ROUND(Slate!G5,3))</f>
        <v>#REF!</v>
      </c>
      <c r="G4" s="10" t="e">
        <f>IF(Slate!#REF!&lt;&gt;"",ROUND(Slate!#REF!,3),ROUND(Slate!P5,3))</f>
        <v>#REF!</v>
      </c>
      <c r="H4" s="10" t="e">
        <f>IF(Slate!K5="","",ROUND(IF(Slate!#REF!&lt;&gt;"",ROUND(Slate!#REF!,3),ROUND(Slate!G5,3))+IF(Slate!#REF!&lt;&gt;"",ROUND(Slate!#REF!,3),ROUND(Slate!P5,3)),3))</f>
        <v>#REF!</v>
      </c>
      <c r="I4" s="10">
        <f>IF(Slate!Q5="",0.5,ROUND(Slate!Q5,4))</f>
        <v>0.40060000000000001</v>
      </c>
      <c r="J4" s="6" t="s">
        <v>896</v>
      </c>
    </row>
    <row r="5" spans="1:10" ht="15" customHeight="1" x14ac:dyDescent="0.25">
      <c r="A5" s="6" t="s">
        <v>895</v>
      </c>
      <c r="B5" s="9" t="str">
        <f>IF(Slate!B6="","",Slate!B6)</f>
        <v>Kansas City Royals</v>
      </c>
      <c r="C5" s="9" t="str">
        <f>IF(Slate!C6="","",Slate!C6)</f>
        <v>Seth Lugo</v>
      </c>
      <c r="D5" s="9" t="str">
        <f>IF(Slate!K6="","",Slate!K6)</f>
        <v>Atlanta Braves</v>
      </c>
      <c r="E5" s="9" t="str">
        <f>IF(Slate!L6="","",Slate!L6)</f>
        <v>Grant Holmes</v>
      </c>
      <c r="F5" s="10" t="e">
        <f>IF(Slate!#REF!&lt;&gt;"",ROUND(Slate!#REF!,3),ROUND(Slate!G6,3))</f>
        <v>#REF!</v>
      </c>
      <c r="G5" s="10" t="e">
        <f>IF(Slate!#REF!&lt;&gt;"",ROUND(Slate!#REF!,3),ROUND(Slate!P6,3))</f>
        <v>#REF!</v>
      </c>
      <c r="H5" s="10" t="e">
        <f>IF(Slate!K6="","",ROUND(IF(Slate!#REF!&lt;&gt;"",ROUND(Slate!#REF!,3),ROUND(Slate!G6,3))+IF(Slate!#REF!&lt;&gt;"",ROUND(Slate!#REF!,3),ROUND(Slate!P6,3)),3))</f>
        <v>#REF!</v>
      </c>
      <c r="I5" s="10">
        <f>IF(Slate!Q6="",0.5,ROUND(Slate!Q6,4))</f>
        <v>0.25469999999999998</v>
      </c>
      <c r="J5" s="6" t="s">
        <v>896</v>
      </c>
    </row>
    <row r="6" spans="1:10" ht="15" customHeight="1" x14ac:dyDescent="0.25">
      <c r="A6" s="6" t="s">
        <v>895</v>
      </c>
      <c r="B6" s="9" t="str">
        <f>IF(Slate!B7="","",Slate!B7)</f>
        <v>Athletics</v>
      </c>
      <c r="C6" s="9" t="str">
        <f>IF(Slate!C7="","",Slate!C7)</f>
        <v>Luis Morales</v>
      </c>
      <c r="D6" s="9" t="str">
        <f>IF(Slate!K7="","",Slate!K7)</f>
        <v>Toronto Blue Jays</v>
      </c>
      <c r="E6" s="9" t="str">
        <f>IF(Slate!L7="","",Slate!L7)</f>
        <v>Eric Lauer</v>
      </c>
      <c r="F6" s="10" t="e">
        <f>IF(Slate!#REF!&lt;&gt;"",ROUND(Slate!#REF!,3),ROUND(Slate!G7,3))</f>
        <v>#REF!</v>
      </c>
      <c r="G6" s="10" t="e">
        <f>IF(Slate!#REF!&lt;&gt;"",ROUND(Slate!#REF!,3),ROUND(Slate!P7,3))</f>
        <v>#REF!</v>
      </c>
      <c r="H6" s="10" t="e">
        <f>IF(Slate!K7="","",ROUND(IF(Slate!#REF!&lt;&gt;"",ROUND(Slate!#REF!,3),ROUND(Slate!G7,3))+IF(Slate!#REF!&lt;&gt;"",ROUND(Slate!#REF!,3),ROUND(Slate!P7,3)),3))</f>
        <v>#REF!</v>
      </c>
      <c r="I6" s="10">
        <f>IF(Slate!Q7="",0.5,ROUND(Slate!Q7,4))</f>
        <v>0.42199999999999999</v>
      </c>
      <c r="J6" s="6" t="s">
        <v>896</v>
      </c>
    </row>
    <row r="7" spans="1:10" ht="15" customHeight="1" x14ac:dyDescent="0.25">
      <c r="A7" s="6" t="s">
        <v>895</v>
      </c>
      <c r="B7" s="9" t="str">
        <f>IF(Slate!B8="","",Slate!B8)</f>
        <v>Boston Red Sox</v>
      </c>
      <c r="C7" s="9" t="str">
        <f>IF(Slate!C8="","",Slate!C8)</f>
        <v>Connelly Early</v>
      </c>
      <c r="D7" s="9" t="str">
        <f>IF(Slate!K8="","",Slate!K8)</f>
        <v>Cincinnati Reds</v>
      </c>
      <c r="E7" s="9" t="str">
        <f>IF(Slate!L8="","",Slate!L8)</f>
        <v>Rhett Lowder</v>
      </c>
      <c r="F7" s="10" t="e">
        <f>IF(Slate!#REF!&lt;&gt;"",ROUND(Slate!#REF!,3),ROUND(Slate!G8,3))</f>
        <v>#REF!</v>
      </c>
      <c r="G7" s="10" t="e">
        <f>IF(Slate!#REF!&lt;&gt;"",ROUND(Slate!#REF!,3),ROUND(Slate!P8,3))</f>
        <v>#REF!</v>
      </c>
      <c r="H7" s="10" t="e">
        <f>IF(Slate!K8="","",ROUND(IF(Slate!#REF!&lt;&gt;"",ROUND(Slate!#REF!,3),ROUND(Slate!G8,3))+IF(Slate!#REF!&lt;&gt;"",ROUND(Slate!#REF!,3),ROUND(Slate!P8,3)),3))</f>
        <v>#REF!</v>
      </c>
      <c r="I7" s="10">
        <f>IF(Slate!Q8="",0.5,ROUND(Slate!Q8,4))</f>
        <v>0.44469999999999998</v>
      </c>
      <c r="J7" s="6" t="s">
        <v>896</v>
      </c>
    </row>
    <row r="8" spans="1:10" ht="15" customHeight="1" x14ac:dyDescent="0.25">
      <c r="A8" s="6" t="s">
        <v>895</v>
      </c>
      <c r="B8" s="9" t="str">
        <f>IF(Slate!B9="","",Slate!B9)</f>
        <v>Pittsburgh Pirates</v>
      </c>
      <c r="C8" s="9" t="str">
        <f>IF(Slate!C9="","",Slate!C9)</f>
        <v>Carmen Mlodzinski</v>
      </c>
      <c r="D8" s="9" t="str">
        <f>IF(Slate!K9="","",Slate!K9)</f>
        <v>New York Mets</v>
      </c>
      <c r="E8" s="9" t="str">
        <f>IF(Slate!L9="","",Slate!L9)</f>
        <v>Nolan McLean</v>
      </c>
      <c r="F8" s="10" t="e">
        <f>IF(Slate!#REF!&lt;&gt;"",ROUND(Slate!#REF!,3),ROUND(Slate!G9,3))</f>
        <v>#REF!</v>
      </c>
      <c r="G8" s="10" t="e">
        <f>IF(Slate!#REF!&lt;&gt;"",ROUND(Slate!#REF!,3),ROUND(Slate!P9,3))</f>
        <v>#REF!</v>
      </c>
      <c r="H8" s="10" t="e">
        <f>IF(Slate!K9="","",ROUND(IF(Slate!#REF!&lt;&gt;"",ROUND(Slate!#REF!,3),ROUND(Slate!G9,3))+IF(Slate!#REF!&lt;&gt;"",ROUND(Slate!#REF!,3),ROUND(Slate!P9,3)),3))</f>
        <v>#REF!</v>
      </c>
      <c r="I8" s="10">
        <f>IF(Slate!Q9="",0.5,ROUND(Slate!Q9,4))</f>
        <v>0.21840000000000001</v>
      </c>
      <c r="J8" s="6" t="s">
        <v>896</v>
      </c>
    </row>
    <row r="9" spans="1:10" ht="15" customHeight="1" x14ac:dyDescent="0.25">
      <c r="A9" s="6" t="s">
        <v>895</v>
      </c>
      <c r="B9" s="9" t="str">
        <f>IF(Slate!B10="","",Slate!B10)</f>
        <v>Colorado Rockies</v>
      </c>
      <c r="C9" s="9" t="str">
        <f>IF(Slate!C10="","",Slate!C10)</f>
        <v>Jose Quintana</v>
      </c>
      <c r="D9" s="9" t="str">
        <f>IF(Slate!K10="","",Slate!K10)</f>
        <v>Miami Marlins</v>
      </c>
      <c r="E9" s="9" t="str">
        <f>IF(Slate!L10="","",Slate!L10)</f>
        <v>Max Meyer</v>
      </c>
      <c r="F9" s="10" t="e">
        <f>IF(Slate!#REF!&lt;&gt;"",ROUND(Slate!#REF!,3),ROUND(Slate!G10,3))</f>
        <v>#REF!</v>
      </c>
      <c r="G9" s="10" t="e">
        <f>IF(Slate!#REF!&lt;&gt;"",ROUND(Slate!#REF!,3),ROUND(Slate!P10,3))</f>
        <v>#REF!</v>
      </c>
      <c r="H9" s="10" t="e">
        <f>IF(Slate!K10="","",ROUND(IF(Slate!#REF!&lt;&gt;"",ROUND(Slate!#REF!,3),ROUND(Slate!G10,3))+IF(Slate!#REF!&lt;&gt;"",ROUND(Slate!#REF!,3),ROUND(Slate!P10,3)),3))</f>
        <v>#REF!</v>
      </c>
      <c r="I9" s="10">
        <f>IF(Slate!Q10="",0.5,ROUND(Slate!Q10,4))</f>
        <v>0.46820000000000001</v>
      </c>
      <c r="J9" s="6" t="s">
        <v>896</v>
      </c>
    </row>
    <row r="10" spans="1:10" ht="15" customHeight="1" x14ac:dyDescent="0.25">
      <c r="A10" s="6" t="s">
        <v>895</v>
      </c>
      <c r="B10" s="9" t="str">
        <f>IF(Slate!B11="","",Slate!B11)</f>
        <v>Los Angeles Angels</v>
      </c>
      <c r="C10" s="9" t="str">
        <f>IF(Slate!C11="","",Slate!C11)</f>
        <v>Jack Kochanowicz</v>
      </c>
      <c r="D10" s="9" t="str">
        <f>IF(Slate!K11="","",Slate!K11)</f>
        <v>Houston Astros</v>
      </c>
      <c r="E10" s="9" t="str">
        <f>IF(Slate!L11="","",Slate!L11)</f>
        <v>Tatsuya Imai</v>
      </c>
      <c r="F10" s="10" t="e">
        <f>IF(Slate!#REF!&lt;&gt;"",ROUND(Slate!#REF!,3),ROUND(Slate!G11,3))</f>
        <v>#REF!</v>
      </c>
      <c r="G10" s="10" t="e">
        <f>IF(Slate!#REF!&lt;&gt;"",ROUND(Slate!#REF!,3),ROUND(Slate!P11,3))</f>
        <v>#REF!</v>
      </c>
      <c r="H10" s="10" t="e">
        <f>IF(Slate!K11="","",ROUND(IF(Slate!#REF!&lt;&gt;"",ROUND(Slate!#REF!,3),ROUND(Slate!G11,3))+IF(Slate!#REF!&lt;&gt;"",ROUND(Slate!#REF!,3),ROUND(Slate!P11,3)),3))</f>
        <v>#REF!</v>
      </c>
      <c r="I10" s="10">
        <f>IF(Slate!Q11="",0.5,ROUND(Slate!Q11,4))</f>
        <v>0.39839999999999998</v>
      </c>
      <c r="J10" s="6" t="s">
        <v>896</v>
      </c>
    </row>
    <row r="11" spans="1:10" ht="15" customHeight="1" x14ac:dyDescent="0.25">
      <c r="A11" s="6" t="s">
        <v>895</v>
      </c>
      <c r="B11" s="9" t="str">
        <f>IF(Slate!B12="","",Slate!B12)</f>
        <v>Chicago White Sox</v>
      </c>
      <c r="C11" s="9" t="str">
        <f>IF(Slate!C12="","",Slate!C12)</f>
        <v>Anthony Kay</v>
      </c>
      <c r="D11" s="9" t="str">
        <f>IF(Slate!K12="","",Slate!K12)</f>
        <v>Milwaukee Brewers</v>
      </c>
      <c r="E11" s="9" t="str">
        <f>IF(Slate!L12="","",Slate!L12)</f>
        <v>Brandon Sproat</v>
      </c>
      <c r="F11" s="10" t="e">
        <f>IF(Slate!#REF!&lt;&gt;"",ROUND(Slate!#REF!,3),ROUND(Slate!G12,3))</f>
        <v>#REF!</v>
      </c>
      <c r="G11" s="10" t="e">
        <f>IF(Slate!#REF!&lt;&gt;"",ROUND(Slate!#REF!,3),ROUND(Slate!P12,3))</f>
        <v>#REF!</v>
      </c>
      <c r="H11" s="10" t="e">
        <f>IF(Slate!K12="","",ROUND(IF(Slate!#REF!&lt;&gt;"",ROUND(Slate!#REF!,3),ROUND(Slate!G12,3))+IF(Slate!#REF!&lt;&gt;"",ROUND(Slate!#REF!,3),ROUND(Slate!P12,3)),3))</f>
        <v>#REF!</v>
      </c>
      <c r="I11" s="10">
        <f>IF(Slate!Q12="",0.5,ROUND(Slate!Q12,4))</f>
        <v>0.71009999999999995</v>
      </c>
      <c r="J11" s="6" t="s">
        <v>896</v>
      </c>
    </row>
    <row r="12" spans="1:10" ht="15" customHeight="1" x14ac:dyDescent="0.25">
      <c r="A12" s="6" t="s">
        <v>895</v>
      </c>
      <c r="B12" s="9" t="str">
        <f>IF(Slate!B13="","",Slate!B13)</f>
        <v>Tampa Bay Rays</v>
      </c>
      <c r="C12" s="9" t="str">
        <f>IF(Slate!C13="","",Slate!C13)</f>
        <v>Steven Matz</v>
      </c>
      <c r="D12" s="9" t="str">
        <f>IF(Slate!K13="","",Slate!K13)</f>
        <v>St. Louis Cardinals</v>
      </c>
      <c r="E12" s="9" t="str">
        <f>IF(Slate!L13="","",Slate!L13)</f>
        <v>Dustin May</v>
      </c>
      <c r="F12" s="10" t="e">
        <f>IF(Slate!#REF!&lt;&gt;"",ROUND(Slate!#REF!,3),ROUND(Slate!G13,3))</f>
        <v>#REF!</v>
      </c>
      <c r="G12" s="10" t="e">
        <f>IF(Slate!#REF!&lt;&gt;"",ROUND(Slate!#REF!,3),ROUND(Slate!P13,3))</f>
        <v>#REF!</v>
      </c>
      <c r="H12" s="10" t="e">
        <f>IF(Slate!K13="","",ROUND(IF(Slate!#REF!&lt;&gt;"",ROUND(Slate!#REF!,3),ROUND(Slate!G13,3))+IF(Slate!#REF!&lt;&gt;"",ROUND(Slate!#REF!,3),ROUND(Slate!P13,3)),3))</f>
        <v>#REF!</v>
      </c>
      <c r="I12" s="10">
        <f>IF(Slate!Q13="",0.5,ROUND(Slate!Q13,4))</f>
        <v>2.7300000000000001E-2</v>
      </c>
      <c r="J12" s="6" t="s">
        <v>896</v>
      </c>
    </row>
    <row r="13" spans="1:10" ht="15" customHeight="1" x14ac:dyDescent="0.25">
      <c r="A13" s="6" t="s">
        <v>895</v>
      </c>
      <c r="B13" s="9" t="str">
        <f>IF(Slate!B14="","",Slate!B14)</f>
        <v>Washington Nationals</v>
      </c>
      <c r="C13" s="9" t="str">
        <f>IF(Slate!C14="","",Slate!C14)</f>
        <v>Jake Irvin</v>
      </c>
      <c r="D13" s="9" t="str">
        <f>IF(Slate!K14="","",Slate!K14)</f>
        <v>Chicago Cubs</v>
      </c>
      <c r="E13" s="9" t="str">
        <f>IF(Slate!L14="","",Slate!L14)</f>
        <v>Shota Imanaga</v>
      </c>
      <c r="F13" s="10" t="e">
        <f>IF(Slate!#REF!&lt;&gt;"",ROUND(Slate!#REF!,3),ROUND(Slate!G14,3))</f>
        <v>#REF!</v>
      </c>
      <c r="G13" s="10" t="e">
        <f>IF(Slate!#REF!&lt;&gt;"",ROUND(Slate!#REF!,3),ROUND(Slate!P14,3))</f>
        <v>#REF!</v>
      </c>
      <c r="H13" s="10" t="e">
        <f>IF(Slate!K14="","",ROUND(IF(Slate!#REF!&lt;&gt;"",ROUND(Slate!#REF!,3),ROUND(Slate!G14,3))+IF(Slate!#REF!&lt;&gt;"",ROUND(Slate!#REF!,3),ROUND(Slate!P14,3)),3))</f>
        <v>#REF!</v>
      </c>
      <c r="I13" s="10">
        <f>IF(Slate!Q14="",0.5,ROUND(Slate!Q14,4))</f>
        <v>0.75839999999999996</v>
      </c>
      <c r="J13" s="6" t="s">
        <v>896</v>
      </c>
    </row>
    <row r="14" spans="1:10" ht="15" customHeight="1" x14ac:dyDescent="0.25">
      <c r="A14" s="6" t="s">
        <v>895</v>
      </c>
      <c r="B14" s="9" t="str">
        <f>IF(Slate!B15="","",Slate!B15)</f>
        <v>Cleveland Guardians</v>
      </c>
      <c r="C14" s="9" t="str">
        <f>IF(Slate!C15="","",Slate!C15)</f>
        <v>Slade Cecconi</v>
      </c>
      <c r="D14" s="9" t="str">
        <f>IF(Slate!K15="","",Slate!K15)</f>
        <v>Seattle Mariners</v>
      </c>
      <c r="E14" s="9" t="str">
        <f>IF(Slate!L15="","",Slate!L15)</f>
        <v>Emerson Hancock</v>
      </c>
      <c r="F14" s="10" t="e">
        <f>IF(Slate!#REF!&lt;&gt;"",ROUND(Slate!#REF!,3),ROUND(Slate!G15,3))</f>
        <v>#REF!</v>
      </c>
      <c r="G14" s="10" t="e">
        <f>IF(Slate!#REF!&lt;&gt;"",ROUND(Slate!#REF!,3),ROUND(Slate!P15,3))</f>
        <v>#REF!</v>
      </c>
      <c r="H14" s="10" t="e">
        <f>IF(Slate!K15="","",ROUND(IF(Slate!#REF!&lt;&gt;"",ROUND(Slate!#REF!,3),ROUND(Slate!G15,3))+IF(Slate!#REF!&lt;&gt;"",ROUND(Slate!#REF!,3),ROUND(Slate!P15,3)),3))</f>
        <v>#REF!</v>
      </c>
      <c r="I14" s="10">
        <f>IF(Slate!Q15="",0.5,ROUND(Slate!Q15,4))</f>
        <v>0.57289999999999996</v>
      </c>
      <c r="J14" s="6" t="s">
        <v>896</v>
      </c>
    </row>
    <row r="15" spans="1:10" ht="15" customHeight="1" x14ac:dyDescent="0.25">
      <c r="A15" s="6" t="s">
        <v>895</v>
      </c>
      <c r="B15" s="9" t="str">
        <f>IF(Slate!B16="","",Slate!B16)</f>
        <v/>
      </c>
      <c r="C15" s="9" t="str">
        <f>IF(Slate!C16="","",Slate!C16)</f>
        <v/>
      </c>
      <c r="D15" s="9" t="str">
        <f>IF(Slate!K16="","",Slate!K16)</f>
        <v/>
      </c>
      <c r="E15" s="9" t="str">
        <f>IF(Slate!L16="","",Slate!L16)</f>
        <v/>
      </c>
      <c r="F15" s="10" t="e">
        <f>IF(Slate!#REF!&lt;&gt;"",ROUND(Slate!#REF!,3),ROUND(Slate!G16,3))</f>
        <v>#REF!</v>
      </c>
      <c r="G15" s="10" t="e">
        <f>IF(Slate!#REF!&lt;&gt;"",ROUND(Slate!#REF!,3),ROUND(Slate!P16,3))</f>
        <v>#REF!</v>
      </c>
      <c r="H15" s="10" t="str">
        <f>IF(Slate!K16="","",ROUND(IF(Slate!#REF!&lt;&gt;"",ROUND(Slate!#REF!,3),ROUND(Slate!G16,3))+IF(Slate!#REF!&lt;&gt;"",ROUND(Slate!#REF!,3),ROUND(Slate!P16,3)),3))</f>
        <v/>
      </c>
      <c r="I15" s="10">
        <f>IF(Slate!Q16="",0.5,ROUND(Slate!Q16,4))</f>
        <v>0.5</v>
      </c>
      <c r="J15" s="6" t="s">
        <v>896</v>
      </c>
    </row>
    <row r="16" spans="1:10" ht="15" customHeight="1" x14ac:dyDescent="0.25">
      <c r="A16" s="6" t="s">
        <v>895</v>
      </c>
      <c r="B16" s="9" t="str">
        <f>IF(Slate!B17="","",Slate!B17)</f>
        <v/>
      </c>
      <c r="C16" s="9" t="str">
        <f>IF(Slate!C17="","",Slate!C17)</f>
        <v/>
      </c>
      <c r="D16" s="9" t="str">
        <f>IF(Slate!K17="","",Slate!K17)</f>
        <v/>
      </c>
      <c r="E16" s="9" t="str">
        <f>IF(Slate!L17="","",Slate!L17)</f>
        <v/>
      </c>
      <c r="F16" s="10" t="e">
        <f>IF(Slate!#REF!&lt;&gt;"",ROUND(Slate!#REF!,3),ROUND(Slate!G17,3))</f>
        <v>#REF!</v>
      </c>
      <c r="G16" s="10" t="e">
        <f>IF(Slate!#REF!&lt;&gt;"",ROUND(Slate!#REF!,3),ROUND(Slate!P17,3))</f>
        <v>#REF!</v>
      </c>
      <c r="H16" s="10" t="str">
        <f>IF(Slate!K17="","",ROUND(IF(Slate!#REF!&lt;&gt;"",ROUND(Slate!#REF!,3),ROUND(Slate!G17,3))+IF(Slate!#REF!&lt;&gt;"",ROUND(Slate!#REF!,3),ROUND(Slate!P17,3)),3))</f>
        <v/>
      </c>
      <c r="I16" s="10">
        <f>IF(Slate!Q17="",0.5,ROUND(Slate!Q17,4))</f>
        <v>0.5</v>
      </c>
      <c r="J16" s="6" t="s">
        <v>896</v>
      </c>
    </row>
    <row r="17" spans="1:10" ht="15" customHeight="1" x14ac:dyDescent="0.25">
      <c r="A17" s="6" t="s">
        <v>895</v>
      </c>
      <c r="B17" s="9" t="str">
        <f>IF(Slate!B18="","",Slate!B18)</f>
        <v/>
      </c>
      <c r="C17" s="9" t="str">
        <f>IF(Slate!C18="","",Slate!C18)</f>
        <v/>
      </c>
      <c r="D17" s="9" t="str">
        <f>IF(Slate!K18="","",Slate!K18)</f>
        <v/>
      </c>
      <c r="E17" s="9" t="str">
        <f>IF(Slate!L18="","",Slate!L18)</f>
        <v/>
      </c>
      <c r="F17" s="10" t="e">
        <f>IF(Slate!#REF!&lt;&gt;"",ROUND(Slate!#REF!,3),ROUND(Slate!G18,3))</f>
        <v>#REF!</v>
      </c>
      <c r="G17" s="10" t="e">
        <f>IF(Slate!#REF!&lt;&gt;"",ROUND(Slate!#REF!,3),ROUND(Slate!P18,3))</f>
        <v>#REF!</v>
      </c>
      <c r="H17" s="10" t="str">
        <f>IF(Slate!K18="","",ROUND(IF(Slate!#REF!&lt;&gt;"",ROUND(Slate!#REF!,3),ROUND(Slate!G18,3))+IF(Slate!#REF!&lt;&gt;"",ROUND(Slate!#REF!,3),ROUND(Slate!P18,3)),3))</f>
        <v/>
      </c>
      <c r="I17" s="10">
        <f>IF(Slate!Q18="",0.5,ROUND(Slate!Q18,4))</f>
        <v>0.5</v>
      </c>
      <c r="J17" s="6" t="s">
        <v>896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Slate</vt:lpstr>
      <vt:lpstr>Pitchers</vt:lpstr>
      <vt:lpstr>TeamOffense</vt:lpstr>
      <vt:lpstr>ParkFactors</vt:lpstr>
      <vt:lpstr>Umpires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Dunk</cp:lastModifiedBy>
  <dcterms:created xsi:type="dcterms:W3CDTF">2026-03-29T16:11:44Z</dcterms:created>
  <dcterms:modified xsi:type="dcterms:W3CDTF">2026-03-29T16:58:38Z</dcterms:modified>
</cp:coreProperties>
</file>